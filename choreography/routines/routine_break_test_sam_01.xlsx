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ine" sheetId="1" state="visible" r:id="rId3"/>
    <sheet name="moveli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<sst xmlns="http://schemas.openxmlformats.org/spreadsheetml/2006/main" count="1143" uniqueCount="286">
  <si>
    <t xml:space="preserve">Start time</t>
  </si>
  <si>
    <t xml:space="preserve">Move type</t>
  </si>
  <si>
    <t xml:space="preserve">File</t>
  </si>
  <si>
    <t xml:space="preserve">Duration</t>
  </si>
  <si>
    <t xml:space="preserve">Repeat</t>
  </si>
  <si>
    <t xml:space="preserve">Start speed °/s</t>
  </si>
  <si>
    <t xml:space="preserve">kP</t>
  </si>
  <si>
    <t xml:space="preserve">kI</t>
  </si>
  <si>
    <t xml:space="preserve">Notes</t>
  </si>
  <si>
    <t xml:space="preserve">start_only</t>
  </si>
  <si>
    <t xml:space="preserve">act_salto_p1_opening.csv</t>
  </si>
  <si>
    <t xml:space="preserve">false</t>
  </si>
  <si>
    <t xml:space="preserve">movement</t>
  </si>
  <si>
    <t xml:space="preserve">act_salto_slapstick_pose.csv</t>
  </si>
  <si>
    <t xml:space="preserve">OFF</t>
  </si>
  <si>
    <t xml:space="preserve">true</t>
  </si>
  <si>
    <t xml:space="preserve">Iets spanning zodat benen niet overklappen</t>
  </si>
  <si>
    <t xml:space="preserve">acro2_backflip.csv</t>
  </si>
  <si>
    <t xml:space="preserve">7500</t>
  </si>
  <si>
    <t xml:space="preserve">acro2_backflip_pause.csv</t>
  </si>
  <si>
    <t xml:space="preserve">13500</t>
  </si>
  <si>
    <t xml:space="preserve">acro2_backflip_pause_v2.csv</t>
  </si>
  <si>
    <t xml:space="preserve">17033</t>
  </si>
  <si>
    <t xml:space="preserve">acro_cannonball_f2h.csv</t>
  </si>
  <si>
    <t xml:space="preserve">8467</t>
  </si>
  <si>
    <t xml:space="preserve">acro_contra_rolldown.csv</t>
  </si>
  <si>
    <t xml:space="preserve">19733</t>
  </si>
  <si>
    <t xml:space="preserve">acro_curbet.csv</t>
  </si>
  <si>
    <t xml:space="preserve">13800</t>
  </si>
  <si>
    <t xml:space="preserve">acro_leg_exchange_L2R.csv</t>
  </si>
  <si>
    <t xml:space="preserve">13033</t>
  </si>
  <si>
    <t xml:space="preserve">acro_podcheska.csv</t>
  </si>
  <si>
    <t xml:space="preserve">acro_podzieska_contra.csv</t>
  </si>
  <si>
    <t xml:space="preserve">8233</t>
  </si>
  <si>
    <t xml:space="preserve">act_explanation_01_wave.csv</t>
  </si>
  <si>
    <t xml:space="preserve">178167</t>
  </si>
  <si>
    <t xml:space="preserve">act_explanation_02_schrik.csv</t>
  </si>
  <si>
    <t xml:space="preserve">60567</t>
  </si>
  <si>
    <t xml:space="preserve">act_explanation_03_schouders.csv</t>
  </si>
  <si>
    <t xml:space="preserve">74033</t>
  </si>
  <si>
    <t xml:space="preserve">act_explanation_04_wave_schouders.csv</t>
  </si>
  <si>
    <t xml:space="preserve">97200</t>
  </si>
  <si>
    <t xml:space="preserve">act_jamileh.csv</t>
  </si>
  <si>
    <t xml:space="preserve">340867</t>
  </si>
  <si>
    <t xml:space="preserve">act_jamileh_1_30.csv</t>
  </si>
  <si>
    <t xml:space="preserve">240633</t>
  </si>
  <si>
    <t xml:space="preserve">act_jamileh_test.csv</t>
  </si>
  <si>
    <t xml:space="preserve">105467</t>
  </si>
  <si>
    <t xml:space="preserve">act_la_mer.csv</t>
  </si>
  <si>
    <t xml:space="preserve">134133</t>
  </si>
  <si>
    <t xml:space="preserve">act_la_mer_old.csv</t>
  </si>
  <si>
    <t xml:space="preserve">act_moveyourfeet.csv</t>
  </si>
  <si>
    <t xml:space="preserve">114500</t>
  </si>
  <si>
    <t xml:space="preserve">act_moveyourfeet_flikflak.csv</t>
  </si>
  <si>
    <t xml:space="preserve">act_moveyourfeet_leanforward.csv</t>
  </si>
  <si>
    <t xml:space="preserve">act_moveyourfeet_v4.csv</t>
  </si>
  <si>
    <t xml:space="preserve">147467</t>
  </si>
  <si>
    <t xml:space="preserve">act_salto_p2_dans_acro_02.csv</t>
  </si>
  <si>
    <t xml:space="preserve">135433</t>
  </si>
  <si>
    <t xml:space="preserve">act_salto_p2_dans_acro_03.csv</t>
  </si>
  <si>
    <t xml:space="preserve">135633</t>
  </si>
  <si>
    <t xml:space="preserve">act_salto_p2_slapstick.csv</t>
  </si>
  <si>
    <t xml:space="preserve">18600</t>
  </si>
  <si>
    <t xml:space="preserve">act_salto_p3_tango_finale.csv</t>
  </si>
  <si>
    <t xml:space="preserve">168300</t>
  </si>
  <si>
    <t xml:space="preserve">act_salto_p4_flipover.csv</t>
  </si>
  <si>
    <t xml:space="preserve">9167</t>
  </si>
  <si>
    <t xml:space="preserve">act_salto_p4_hit.csv</t>
  </si>
  <si>
    <t xml:space="preserve">500</t>
  </si>
  <si>
    <t xml:space="preserve">act_salto_p4_hit_02.csv</t>
  </si>
  <si>
    <t xml:space="preserve">600</t>
  </si>
  <si>
    <t xml:space="preserve">act_salto_p4_kick.csv</t>
  </si>
  <si>
    <t xml:space="preserve">700</t>
  </si>
  <si>
    <t xml:space="preserve">act_salto_p5_overload.csv</t>
  </si>
  <si>
    <t xml:space="preserve">39967</t>
  </si>
  <si>
    <t xml:space="preserve">act_salto_p6_finale.csv</t>
  </si>
  <si>
    <t xml:space="preserve">103067</t>
  </si>
  <si>
    <t xml:space="preserve">act_salto_test_shake.csv</t>
  </si>
  <si>
    <t xml:space="preserve">21967</t>
  </si>
  <si>
    <t xml:space="preserve">Ars hump front low.csv</t>
  </si>
  <si>
    <t xml:space="preserve">6900</t>
  </si>
  <si>
    <t xml:space="preserve">ars_back_stretch.csv</t>
  </si>
  <si>
    <t xml:space="preserve">114867</t>
  </si>
  <si>
    <t xml:space="preserve">ars_headstand.csv</t>
  </si>
  <si>
    <t xml:space="preserve">79367</t>
  </si>
  <si>
    <t xml:space="preserve">Ars_hump_front_low.csv</t>
  </si>
  <si>
    <t xml:space="preserve">16200</t>
  </si>
  <si>
    <t xml:space="preserve">ars_repeat_rotate_arms_legs_samedir_16s.csv</t>
  </si>
  <si>
    <t xml:space="preserve">16000</t>
  </si>
  <si>
    <t xml:space="preserve">ars_roll_f2b.csv</t>
  </si>
  <si>
    <t xml:space="preserve">5467</t>
  </si>
  <si>
    <t xml:space="preserve">ars_roll_sideways_high.csv</t>
  </si>
  <si>
    <t xml:space="preserve">3500</t>
  </si>
  <si>
    <t xml:space="preserve">ars_roll_sideways_lower.csv</t>
  </si>
  <si>
    <t xml:space="preserve">3933</t>
  </si>
  <si>
    <t xml:space="preserve">ars_sequence_1.csv</t>
  </si>
  <si>
    <t xml:space="preserve">648000</t>
  </si>
  <si>
    <t xml:space="preserve">ars_sequence_2.csv</t>
  </si>
  <si>
    <t xml:space="preserve">574333</t>
  </si>
  <si>
    <t xml:space="preserve">ars_situp.csv</t>
  </si>
  <si>
    <t xml:space="preserve">29800</t>
  </si>
  <si>
    <t xml:space="preserve">chair-handstand-dst-isolated-soft.csv</t>
  </si>
  <si>
    <t xml:space="preserve">17267</t>
  </si>
  <si>
    <t xml:space="preserve">chair-handstand-dst-isolated.csv</t>
  </si>
  <si>
    <t xml:space="preserve">chair-to-handstand.csv</t>
  </si>
  <si>
    <t xml:space="preserve">chataigne_test.csv</t>
  </si>
  <si>
    <t xml:space="preserve">2000</t>
  </si>
  <si>
    <t xml:space="preserve">circusstad_acro.csv</t>
  </si>
  <si>
    <t xml:space="preserve">367067</t>
  </si>
  <si>
    <t xml:space="preserve">circusstad_acroyoga.csv</t>
  </si>
  <si>
    <t xml:space="preserve">265933</t>
  </si>
  <si>
    <t xml:space="preserve">circusstad_ending_alive.csv</t>
  </si>
  <si>
    <t xml:space="preserve">145467</t>
  </si>
  <si>
    <t xml:space="preserve">circusstad_microphone.csv</t>
  </si>
  <si>
    <t xml:space="preserve">70267</t>
  </si>
  <si>
    <t xml:space="preserve">circusstad_spiegelen.csv</t>
  </si>
  <si>
    <t xml:space="preserve">199667</t>
  </si>
  <si>
    <t xml:space="preserve">circusstad_spiegel_acroyoga.csv</t>
  </si>
  <si>
    <t xml:space="preserve">465400</t>
  </si>
  <si>
    <t xml:space="preserve">circusstad_spiegel_acroyoga_adjusted.csv</t>
  </si>
  <si>
    <t xml:space="preserve">413033</t>
  </si>
  <si>
    <t xml:space="preserve">circusstad_spiegel_acroyoga_shorter.csv</t>
  </si>
  <si>
    <t xml:space="preserve">401367</t>
  </si>
  <si>
    <t xml:space="preserve">circusstad_spiegel_acroyoga_shorter_long_in.csv</t>
  </si>
  <si>
    <t xml:space="preserve">465467</t>
  </si>
  <si>
    <t xml:space="preserve">crawl_scorpion.csv</t>
  </si>
  <si>
    <t xml:space="preserve">1767</t>
  </si>
  <si>
    <t xml:space="preserve">crawl_sit.csv</t>
  </si>
  <si>
    <t xml:space="preserve">833</t>
  </si>
  <si>
    <t xml:space="preserve">dance_aloof.csv</t>
  </si>
  <si>
    <t xml:space="preserve">17667</t>
  </si>
  <si>
    <t xml:space="preserve">dst-after-handstand-isolated.csv</t>
  </si>
  <si>
    <t xml:space="preserve">65700</t>
  </si>
  <si>
    <t xml:space="preserve">dst-backturn-to-standing-isolated.csv</t>
  </si>
  <si>
    <t xml:space="preserve">7333</t>
  </si>
  <si>
    <t xml:space="preserve">dst-craddle-walkover.csv</t>
  </si>
  <si>
    <t xml:space="preserve">9067</t>
  </si>
  <si>
    <t xml:space="preserve">dst-foot-play.csv</t>
  </si>
  <si>
    <t xml:space="preserve">56067</t>
  </si>
  <si>
    <t xml:space="preserve">FGT_lets_dance.csv</t>
  </si>
  <si>
    <t xml:space="preserve">142333</t>
  </si>
  <si>
    <t xml:space="preserve">greetings_wave.csv</t>
  </si>
  <si>
    <t xml:space="preserve">greeting_bow_deep.csv</t>
  </si>
  <si>
    <t xml:space="preserve">6400</t>
  </si>
  <si>
    <t xml:space="preserve">greeting_bow_small.csv</t>
  </si>
  <si>
    <t xml:space="preserve">2833</t>
  </si>
  <si>
    <t xml:space="preserve">greeting_nod.csv</t>
  </si>
  <si>
    <t xml:space="preserve">933</t>
  </si>
  <si>
    <t xml:space="preserve">greeting_shake_hand.csv</t>
  </si>
  <si>
    <t xml:space="preserve">greeting_wave_double.csv</t>
  </si>
  <si>
    <t xml:space="preserve">6133</t>
  </si>
  <si>
    <t xml:space="preserve">greeting_wave_left.csv</t>
  </si>
  <si>
    <t xml:space="preserve">iso-f2h-catch-rockroll-seq.csv</t>
  </si>
  <si>
    <t xml:space="preserve">29967</t>
  </si>
  <si>
    <t xml:space="preserve">iso-forhead-balance.csv</t>
  </si>
  <si>
    <t xml:space="preserve">8400</t>
  </si>
  <si>
    <t xml:space="preserve">iso-lowh2h-standonshoulder.csv</t>
  </si>
  <si>
    <t xml:space="preserve">43100</t>
  </si>
  <si>
    <t xml:space="preserve">iso-shoulderbird-kneehandstand.csv</t>
  </si>
  <si>
    <t xml:space="preserve">22167</t>
  </si>
  <si>
    <t xml:space="preserve">pattern-3-limbs-referentie.csv</t>
  </si>
  <si>
    <t xml:space="preserve">3333</t>
  </si>
  <si>
    <t xml:space="preserve">pattern-3-limbs.csv</t>
  </si>
  <si>
    <t xml:space="preserve">pattern-3-limbs2.csv</t>
  </si>
  <si>
    <t xml:space="preserve">1000</t>
  </si>
  <si>
    <t xml:space="preserve">pose-handstand.csv</t>
  </si>
  <si>
    <t xml:space="preserve">pose-highfive.csv</t>
  </si>
  <si>
    <t xml:space="preserve">2233</t>
  </si>
  <si>
    <t xml:space="preserve">pose_180.csv</t>
  </si>
  <si>
    <t xml:space="preserve">33</t>
  </si>
  <si>
    <t xml:space="preserve">pose_handstand.csv</t>
  </si>
  <si>
    <t xml:space="preserve">pose_handstand_oversplit.csv</t>
  </si>
  <si>
    <t xml:space="preserve">pose_handstand_split.csv</t>
  </si>
  <si>
    <t xml:space="preserve">pose_planche.csv</t>
  </si>
  <si>
    <t xml:space="preserve">pose_scorpion.csv</t>
  </si>
  <si>
    <t xml:space="preserve">pose_seven.csv</t>
  </si>
  <si>
    <t xml:space="preserve">pose_sit.csv</t>
  </si>
  <si>
    <t xml:space="preserve">pose_split_l.csv</t>
  </si>
  <si>
    <t xml:space="preserve">pose_stand.csv</t>
  </si>
  <si>
    <t xml:space="preserve">pose_stand_legs_only.csv</t>
  </si>
  <si>
    <t xml:space="preserve">pose_table.csv</t>
  </si>
  <si>
    <t xml:space="preserve">pose_yoga_dog.csv</t>
  </si>
  <si>
    <t xml:space="preserve">quick_01-backup.csv</t>
  </si>
  <si>
    <t xml:space="preserve">102833</t>
  </si>
  <si>
    <t xml:space="preserve">repeat_hump_arms_legs_samedir_16s.csv</t>
  </si>
  <si>
    <t xml:space="preserve">repeat_hump_large_4s.csv</t>
  </si>
  <si>
    <t xml:space="preserve">4000</t>
  </si>
  <si>
    <t xml:space="preserve">repeat_hump_medium_3s.csv</t>
  </si>
  <si>
    <t xml:space="preserve">3000</t>
  </si>
  <si>
    <t xml:space="preserve">repeat_hump_medium_arms_3s.csv</t>
  </si>
  <si>
    <t xml:space="preserve">repeat_hump_medium_arms_linear_3s.csv</t>
  </si>
  <si>
    <t xml:space="preserve">repeat_hump_medium_windup_5s.csv</t>
  </si>
  <si>
    <t xml:space="preserve">5000</t>
  </si>
  <si>
    <t xml:space="preserve">repeat_hump_small_1s.csv</t>
  </si>
  <si>
    <t xml:space="preserve">repeat_hump_small_3s.csv</t>
  </si>
  <si>
    <t xml:space="preserve">repeat_hump_XL_4s.csv</t>
  </si>
  <si>
    <t xml:space="preserve">repeat_random_individual_10s.csv</t>
  </si>
  <si>
    <t xml:space="preserve">10000</t>
  </si>
  <si>
    <t xml:space="preserve">repeat_random_individual_20s.csv</t>
  </si>
  <si>
    <t xml:space="preserve">20000</t>
  </si>
  <si>
    <t xml:space="preserve">repeat_random_individual_ease_20s.csv</t>
  </si>
  <si>
    <t xml:space="preserve">repeat_random_individual_lin_20.csv</t>
  </si>
  <si>
    <t xml:space="preserve">repeat_rotate_arms_16s.csv</t>
  </si>
  <si>
    <t xml:space="preserve">repeat_rotate_arms_legs_opp_16s.csv</t>
  </si>
  <si>
    <t xml:space="preserve">repeat_rotate_arms_legs_samedir_16s.csv</t>
  </si>
  <si>
    <t xml:space="preserve">salto_d2_dans_acro_01.csv</t>
  </si>
  <si>
    <t xml:space="preserve">60133</t>
  </si>
  <si>
    <t xml:space="preserve">salto_d2_dans_acro_02.csv</t>
  </si>
  <si>
    <t xml:space="preserve">127033</t>
  </si>
  <si>
    <t xml:space="preserve">shoulderbird-knee-tweakers.csv</t>
  </si>
  <si>
    <t xml:space="preserve">27967</t>
  </si>
  <si>
    <t xml:space="preserve">street_acroyoga.csv</t>
  </si>
  <si>
    <t xml:space="preserve">455967</t>
  </si>
  <si>
    <t xml:space="preserve">street_demo_opening.csv</t>
  </si>
  <si>
    <t xml:space="preserve">129700</t>
  </si>
  <si>
    <t xml:space="preserve">street_letsdance_old01.csv</t>
  </si>
  <si>
    <t xml:space="preserve">170800</t>
  </si>
  <si>
    <t xml:space="preserve">street_letsdance_p1.csv</t>
  </si>
  <si>
    <t xml:space="preserve">144533</t>
  </si>
  <si>
    <t xml:space="preserve">street_letsdance_p2.csv</t>
  </si>
  <si>
    <t xml:space="preserve">88467</t>
  </si>
  <si>
    <t xml:space="preserve">street_mic_end.csv</t>
  </si>
  <si>
    <t xml:space="preserve">2033</t>
  </si>
  <si>
    <t xml:space="preserve">street_mic_prep.csv</t>
  </si>
  <si>
    <t xml:space="preserve">1167</t>
  </si>
  <si>
    <t xml:space="preserve">street_mic_scene.csv</t>
  </si>
  <si>
    <t xml:space="preserve">182900</t>
  </si>
  <si>
    <t xml:space="preserve">tango-downward-dog-sequence.csv</t>
  </si>
  <si>
    <t xml:space="preserve">32000</t>
  </si>
  <si>
    <t xml:space="preserve">tango-sequence-dst-alternate-end.csv</t>
  </si>
  <si>
    <t xml:space="preserve">110900</t>
  </si>
  <si>
    <t xml:space="preserve">tango-sequence-dst-splits.csv</t>
  </si>
  <si>
    <t xml:space="preserve">6500</t>
  </si>
  <si>
    <t xml:space="preserve">tango-sequence-dst-splits2.csv</t>
  </si>
  <si>
    <t xml:space="preserve">tango-sequence-dst-stoeltje.csv</t>
  </si>
  <si>
    <t xml:space="preserve">8567</t>
  </si>
  <si>
    <t xml:space="preserve">tango-sequence-dst.csv</t>
  </si>
  <si>
    <t xml:space="preserve">118167</t>
  </si>
  <si>
    <t xml:space="preserve">test_3limbs.csv</t>
  </si>
  <si>
    <t xml:space="preserve">test_cannonball.csv</t>
  </si>
  <si>
    <t xml:space="preserve">24367</t>
  </si>
  <si>
    <t xml:space="preserve">test_contra_finale.csv</t>
  </si>
  <si>
    <t xml:space="preserve">40833</t>
  </si>
  <si>
    <t xml:space="preserve">test_dog.csv</t>
  </si>
  <si>
    <t xml:space="preserve">test_flikflak_daniel.csv</t>
  </si>
  <si>
    <t xml:space="preserve">22633</t>
  </si>
  <si>
    <t xml:space="preserve">test_flop_roll.csv</t>
  </si>
  <si>
    <t xml:space="preserve">10100</t>
  </si>
  <si>
    <t xml:space="preserve">test_fullrev.csv</t>
  </si>
  <si>
    <t xml:space="preserve">8000</t>
  </si>
  <si>
    <t xml:space="preserve">test_multi_rev.csv</t>
  </si>
  <si>
    <t xml:space="preserve">test_rockroll.csv</t>
  </si>
  <si>
    <t xml:space="preserve">32967</t>
  </si>
  <si>
    <t xml:space="preserve">travel_walk_96bmp.csv</t>
  </si>
  <si>
    <t xml:space="preserve">1333</t>
  </si>
  <si>
    <t xml:space="preserve">trick-backflip-pose.csv</t>
  </si>
  <si>
    <t xml:space="preserve">trick-backflip1.csv</t>
  </si>
  <si>
    <t xml:space="preserve">7933</t>
  </si>
  <si>
    <t xml:space="preserve">trick-backflip2.csv</t>
  </si>
  <si>
    <t xml:space="preserve">12033</t>
  </si>
  <si>
    <t xml:space="preserve">trick-backflip3.csv</t>
  </si>
  <si>
    <t xml:space="preserve">trick-backflip4.csv</t>
  </si>
  <si>
    <t xml:space="preserve">trick-ropeskipping.csv</t>
  </si>
  <si>
    <t xml:space="preserve">7000</t>
  </si>
  <si>
    <t xml:space="preserve">trick-ropeskipping2.csv</t>
  </si>
  <si>
    <t xml:space="preserve">3900</t>
  </si>
  <si>
    <t xml:space="preserve">trick-walkover.csv</t>
  </si>
  <si>
    <t xml:space="preserve">21000</t>
  </si>
  <si>
    <t xml:space="preserve">trick-walkover2.csv</t>
  </si>
  <si>
    <t xml:space="preserve">18000</t>
  </si>
  <si>
    <t xml:space="preserve">trick-walkover3.csv</t>
  </si>
  <si>
    <t xml:space="preserve">trick-walkover4.csv</t>
  </si>
  <si>
    <t xml:space="preserve">walk_backwards.csv</t>
  </si>
  <si>
    <t xml:space="preserve">walk_forwards.csv</t>
  </si>
  <si>
    <t xml:space="preserve">walk_large.csv</t>
  </si>
  <si>
    <t xml:space="preserve">walk_normal.csv</t>
  </si>
  <si>
    <t xml:space="preserve">1600</t>
  </si>
  <si>
    <t xml:space="preserve">walk_zombie.csv</t>
  </si>
  <si>
    <t xml:space="preserve">warmup_arm_swing.csv</t>
  </si>
  <si>
    <t xml:space="preserve">23867</t>
  </si>
  <si>
    <t xml:space="preserve">warmup_leg_stretch.csv</t>
  </si>
  <si>
    <t xml:space="preserve">19467</t>
  </si>
  <si>
    <t xml:space="preserve">warmup_shoulder_stretch.csv</t>
  </si>
  <si>
    <t xml:space="preserve">15267</t>
  </si>
  <si>
    <t xml:space="preserve">warmup_situp.csv</t>
  </si>
  <si>
    <t xml:space="preserve">5900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</si>
</sst>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€ &quot;* #,##0.00_-;_-&quot;€ &quot;* #,##0.00\-;_-&quot;€ &quot;* \-??_-;_-@_-"/>
    <numFmt numFmtId="166" formatCode="0%"/>
    <numFmt numFmtId="167" formatCode="_-&quot;€ &quot;* #,##0_-;_-&quot;€ &quot;* #,##0\-;_-&quot;€ &quot;* \-_-;_-@_-"/>
    <numFmt numFmtId="168" formatCode="_-* #,##0.00_-;_-* #,##0.00\-;_-* \-??_-;_-@_-"/>
    <numFmt numFmtId="169" formatCode="_-* #,##0_-;_-* #,##0\-;_-* \-_-;_-@_-"/>
    <numFmt numFmtId="170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1111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false" xfId="31"/>
    <cellStyle name="Input" xfId="32"/>
    <cellStyle name="Result2" xfId="33"/>
    <cellStyle name="Untitled1" xfId="34"/>
  </cellStyles>
  <dxfs count="4">
    <dxf>
      <font>
        <name val="Arial"/>
        <charset val="1"/>
        <family val="0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CC0000"/>
      </font>
      <numFmt numFmtId="164" formatCode="General"/>
      <fill>
        <patternFill>
          <bgColor rgb="FFFFCCCC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DEE6EF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FFFFD7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12" activeCellId="0" sqref="G212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2" width="11.53"/>
    <col collapsed="false" customWidth="false" hidden="false" outlineLevel="0" max="3" min="3" style="3" width="11.53"/>
    <col collapsed="false" customWidth="true" hidden="false" outlineLevel="0" max="4" min="4" style="1" width="30.19"/>
    <col collapsed="false" customWidth="false" hidden="false" outlineLevel="0" max="5" min="5" style="3" width="11.53"/>
    <col collapsed="false" customWidth="false" hidden="false" outlineLevel="0" max="6" min="6" style="4" width="11.53"/>
    <col collapsed="false" customWidth="true" hidden="false" outlineLevel="0" max="7" min="7" style="5" width="13.9"/>
    <col collapsed="false" customWidth="false" hidden="false" outlineLevel="0" max="9" min="8" style="6" width="11.53"/>
    <col collapsed="false" customWidth="false" hidden="false" outlineLevel="0" max="16384" min="10" style="3" width="11.53"/>
  </cols>
  <sheetData>
    <row r="1" customFormat="false" ht="12.75" hidden="false" customHeight="true" outlineLevel="0" collapsed="false">
      <c r="A1" s="7" t="s">
        <v>0</v>
      </c>
      <c r="C1" s="1" t="s">
        <v>1</v>
      </c>
      <c r="D1" s="1" t="s">
        <v>2</v>
      </c>
      <c r="E1" s="8" t="s">
        <v>3</v>
      </c>
      <c r="F1" s="9" t="s">
        <v>4</v>
      </c>
      <c r="G1" s="5" t="s">
        <v>5</v>
      </c>
      <c r="H1" s="9" t="s">
        <v>6</v>
      </c>
      <c r="I1" s="9" t="s">
        <v>7</v>
      </c>
      <c r="J1" s="8" t="s">
        <v>8</v>
      </c>
    </row>
    <row r="2" customFormat="false" ht="14.25" hidden="false" customHeight="true" outlineLevel="0" collapsed="false">
      <c r="A2" s="8" t="n">
        <v>0</v>
      </c>
      <c r="B2" s="10" t="str">
        <f aca="false">INT(A2/60000) &amp; ":" &amp; INT(MOD(A2/1000, 60)) &amp; "." &amp; TEXT(INT(MOD(A2/1, 1000)), "000")</f>
        <v>0:0.000</v>
      </c>
      <c r="C2" s="7" t="s">
        <v>9</v>
      </c>
      <c r="D2" s="7" t="s">
        <v>10</v>
      </c>
      <c r="E2" s="8" t="str">
        <f aca="false">INDEX(movelist!B:B, MATCH($D2, movelist!A:A, 0))</f>
        <v>147467</v>
      </c>
      <c r="F2" s="11" t="s">
        <v>11</v>
      </c>
      <c r="G2" s="5" t="n">
        <v>190</v>
      </c>
      <c r="H2" s="5" t="n">
        <v>50</v>
      </c>
      <c r="I2" s="5" t="n">
        <v>2</v>
      </c>
      <c r="J2" s="8"/>
    </row>
    <row r="3" customFormat="false" ht="14.25" hidden="false" customHeight="true" outlineLevel="0" collapsed="false">
      <c r="A3" s="1" t="n">
        <v>150</v>
      </c>
      <c r="B3" s="10" t="str">
        <f aca="false">INT(A3/60000) &amp; ":" &amp; INT(MOD(A3/1000, 60)) &amp; "." &amp; TEXT(INT(MOD(A3/1, 1000)), "000")</f>
        <v>0:0.150</v>
      </c>
      <c r="C3" s="7" t="s">
        <v>12</v>
      </c>
      <c r="D3" s="7" t="s">
        <v>10</v>
      </c>
      <c r="E3" s="8" t="str">
        <f aca="false">INDEX(movelist!B:B, MATCH($D3, movelist!A:A, 0))</f>
        <v>147467</v>
      </c>
      <c r="F3" s="11" t="s">
        <v>11</v>
      </c>
      <c r="G3" s="5" t="n">
        <v>190</v>
      </c>
      <c r="H3" s="5" t="n">
        <v>50</v>
      </c>
      <c r="I3" s="5" t="n">
        <v>2</v>
      </c>
      <c r="J3" s="8"/>
    </row>
    <row r="4" customFormat="false" ht="14.25" hidden="false" customHeight="true" outlineLevel="0" collapsed="false">
      <c r="A4" s="12" t="n">
        <v>500</v>
      </c>
      <c r="B4" s="10" t="str">
        <f aca="false">INT(A4/60000) &amp; ":" &amp; INT(MOD(A4/1000, 60)) &amp; "." &amp; TEXT(INT(MOD(A4/1, 1000)), "000")</f>
        <v>0:0.500</v>
      </c>
      <c r="C4" s="7" t="s">
        <v>12</v>
      </c>
      <c r="D4" s="7" t="s">
        <v>13</v>
      </c>
      <c r="E4" s="8" t="str">
        <f aca="false">INDEX(movelist!B:B, MATCH($D4, movelist!A:A, 0))</f>
        <v>1000</v>
      </c>
      <c r="F4" s="11" t="s">
        <v>11</v>
      </c>
      <c r="G4" s="5" t="n">
        <v>75</v>
      </c>
      <c r="H4" s="5" t="n">
        <v>0</v>
      </c>
      <c r="I4" s="5" t="n">
        <v>0</v>
      </c>
      <c r="J4" s="8" t="s">
        <v>14</v>
      </c>
    </row>
    <row r="5" customFormat="false" ht="14.25" hidden="false" customHeight="true" outlineLevel="0" collapsed="false">
      <c r="A5" s="1" t="n">
        <f aca="false">A4 + 4000</f>
        <v>4500</v>
      </c>
      <c r="B5" s="10" t="str">
        <f aca="false">INT(A5/60000) &amp; ":" &amp; INT(MOD(A5/1000, 60)) &amp; "." &amp; TEXT(INT(MOD(A5/1, 1000)), "000")</f>
        <v>0:4.500</v>
      </c>
      <c r="C5" s="7" t="s">
        <v>12</v>
      </c>
      <c r="D5" s="7" t="s">
        <v>13</v>
      </c>
      <c r="E5" s="8" t="str">
        <f aca="false">INDEX(movelist!B:B, MATCH($D5, movelist!A:A, 0))</f>
        <v>1000</v>
      </c>
      <c r="F5" s="11" t="s">
        <v>15</v>
      </c>
      <c r="G5" s="5" t="n">
        <v>75</v>
      </c>
      <c r="H5" s="5" t="n">
        <v>0</v>
      </c>
      <c r="I5" s="5" t="n">
        <v>0.15</v>
      </c>
      <c r="J5" s="8" t="s">
        <v>16</v>
      </c>
    </row>
    <row r="6" customFormat="false" ht="14.25" hidden="false" customHeight="true" outlineLevel="0" collapsed="false">
      <c r="A6" s="12" t="n">
        <f aca="false">A5+4000</f>
        <v>8500</v>
      </c>
      <c r="B6" s="10" t="str">
        <f aca="false">INT(A6/60000) &amp; ":" &amp; INT(MOD(A6/1000, 60)) &amp; "." &amp; TEXT(INT(MOD(A6/1, 1000)), "000")</f>
        <v>0:8.500</v>
      </c>
      <c r="C6" s="7" t="s">
        <v>12</v>
      </c>
      <c r="D6" s="7" t="s">
        <v>13</v>
      </c>
      <c r="E6" s="8" t="str">
        <f aca="false">INDEX(movelist!B:B, MATCH($D6, movelist!A:A, 0))</f>
        <v>1000</v>
      </c>
      <c r="F6" s="11" t="s">
        <v>11</v>
      </c>
      <c r="G6" s="5" t="n">
        <v>75</v>
      </c>
      <c r="H6" s="5" t="n">
        <v>0</v>
      </c>
      <c r="I6" s="5" t="n">
        <v>0</v>
      </c>
      <c r="J6" s="8" t="s">
        <v>14</v>
      </c>
      <c r="K6" s="0"/>
    </row>
    <row r="7" customFormat="false" ht="14.25" hidden="false" customHeight="true" outlineLevel="0" collapsed="false">
      <c r="A7" s="1" t="n">
        <f aca="false">A6 + 4000</f>
        <v>12500</v>
      </c>
      <c r="B7" s="10" t="str">
        <f aca="false">INT(A7/60000) &amp; ":" &amp; INT(MOD(A7/1000, 60)) &amp; "." &amp; TEXT(INT(MOD(A7/1, 1000)), "000")</f>
        <v>0:12.500</v>
      </c>
      <c r="C7" s="7" t="s">
        <v>12</v>
      </c>
      <c r="D7" s="7" t="s">
        <v>13</v>
      </c>
      <c r="E7" s="8" t="str">
        <f aca="false">INDEX(movelist!B:B, MATCH($D7, movelist!A:A, 0))</f>
        <v>1000</v>
      </c>
      <c r="F7" s="11" t="s">
        <v>15</v>
      </c>
      <c r="G7" s="5" t="n">
        <v>75</v>
      </c>
      <c r="H7" s="5" t="n">
        <v>0</v>
      </c>
      <c r="I7" s="5" t="n">
        <v>0.15</v>
      </c>
      <c r="J7" s="8" t="s">
        <v>16</v>
      </c>
      <c r="K7" s="0"/>
    </row>
    <row r="8" customFormat="false" ht="14.25" hidden="false" customHeight="true" outlineLevel="0" collapsed="false">
      <c r="A8" s="12" t="n">
        <f aca="false">A7+4000</f>
        <v>16500</v>
      </c>
      <c r="B8" s="10" t="str">
        <f aca="false">INT(A8/60000) &amp; ":" &amp; INT(MOD(A8/1000, 60)) &amp; "." &amp; TEXT(INT(MOD(A8/1, 1000)), "000")</f>
        <v>0:16.500</v>
      </c>
      <c r="C8" s="7" t="s">
        <v>12</v>
      </c>
      <c r="D8" s="7" t="s">
        <v>13</v>
      </c>
      <c r="E8" s="8" t="str">
        <f aca="false">INDEX(movelist!B:B, MATCH($D8, movelist!A:A, 0))</f>
        <v>1000</v>
      </c>
      <c r="F8" s="11" t="s">
        <v>11</v>
      </c>
      <c r="G8" s="5" t="n">
        <v>75</v>
      </c>
      <c r="H8" s="5" t="n">
        <v>0</v>
      </c>
      <c r="I8" s="5" t="n">
        <v>0</v>
      </c>
      <c r="J8" s="8" t="s">
        <v>14</v>
      </c>
    </row>
    <row r="9" customFormat="false" ht="14.25" hidden="false" customHeight="true" outlineLevel="0" collapsed="false">
      <c r="A9" s="1" t="n">
        <f aca="false">A8 + 4000</f>
        <v>20500</v>
      </c>
      <c r="B9" s="10" t="str">
        <f aca="false">INT(A9/60000) &amp; ":" &amp; INT(MOD(A9/1000, 60)) &amp; "." &amp; TEXT(INT(MOD(A9/1, 1000)), "000")</f>
        <v>0:20.500</v>
      </c>
      <c r="C9" s="7" t="s">
        <v>12</v>
      </c>
      <c r="D9" s="7" t="s">
        <v>13</v>
      </c>
      <c r="E9" s="8" t="str">
        <f aca="false">INDEX(movelist!B:B, MATCH($D9, movelist!A:A, 0))</f>
        <v>1000</v>
      </c>
      <c r="F9" s="11" t="s">
        <v>15</v>
      </c>
      <c r="G9" s="5" t="n">
        <v>75</v>
      </c>
      <c r="H9" s="5" t="n">
        <v>0</v>
      </c>
      <c r="I9" s="5" t="n">
        <v>0.15</v>
      </c>
      <c r="J9" s="8" t="s">
        <v>16</v>
      </c>
    </row>
    <row r="10" customFormat="false" ht="14.25" hidden="false" customHeight="true" outlineLevel="0" collapsed="false">
      <c r="A10" s="12" t="n">
        <f aca="false">A9+4000</f>
        <v>24500</v>
      </c>
      <c r="B10" s="10" t="str">
        <f aca="false">INT(A10/60000) &amp; ":" &amp; INT(MOD(A10/1000, 60)) &amp; "." &amp; TEXT(INT(MOD(A10/1, 1000)), "000")</f>
        <v>0:24.500</v>
      </c>
      <c r="C10" s="7" t="s">
        <v>12</v>
      </c>
      <c r="D10" s="7" t="s">
        <v>13</v>
      </c>
      <c r="E10" s="8" t="str">
        <f aca="false">INDEX(movelist!B:B, MATCH($D10, movelist!A:A, 0))</f>
        <v>1000</v>
      </c>
      <c r="F10" s="11" t="s">
        <v>11</v>
      </c>
      <c r="G10" s="5" t="n">
        <v>75</v>
      </c>
      <c r="H10" s="5" t="n">
        <v>0</v>
      </c>
      <c r="I10" s="5" t="n">
        <v>0</v>
      </c>
      <c r="J10" s="8" t="s">
        <v>14</v>
      </c>
    </row>
    <row r="11" customFormat="false" ht="14.25" hidden="false" customHeight="true" outlineLevel="0" collapsed="false">
      <c r="A11" s="1" t="n">
        <f aca="false">A10 + 4000</f>
        <v>28500</v>
      </c>
      <c r="B11" s="10" t="str">
        <f aca="false">INT(A11/60000) &amp; ":" &amp; INT(MOD(A11/1000, 60)) &amp; "." &amp; TEXT(INT(MOD(A11/1, 1000)), "000")</f>
        <v>0:28.500</v>
      </c>
      <c r="C11" s="7" t="s">
        <v>12</v>
      </c>
      <c r="D11" s="7" t="s">
        <v>13</v>
      </c>
      <c r="E11" s="8" t="str">
        <f aca="false">INDEX(movelist!B:B, MATCH($D11, movelist!A:A, 0))</f>
        <v>1000</v>
      </c>
      <c r="F11" s="11" t="s">
        <v>15</v>
      </c>
      <c r="G11" s="5" t="n">
        <v>75</v>
      </c>
      <c r="H11" s="5" t="n">
        <v>0</v>
      </c>
      <c r="I11" s="5" t="n">
        <v>0.15</v>
      </c>
      <c r="J11" s="8" t="s">
        <v>16</v>
      </c>
    </row>
    <row r="12" customFormat="false" ht="14.25" hidden="false" customHeight="true" outlineLevel="0" collapsed="false">
      <c r="A12" s="12" t="n">
        <f aca="false">A11+4000</f>
        <v>32500</v>
      </c>
      <c r="B12" s="10" t="str">
        <f aca="false">INT(A12/60000) &amp; ":" &amp; INT(MOD(A12/1000, 60)) &amp; "." &amp; TEXT(INT(MOD(A12/1, 1000)), "000")</f>
        <v>0:32.500</v>
      </c>
      <c r="C12" s="7" t="s">
        <v>12</v>
      </c>
      <c r="D12" s="7" t="s">
        <v>13</v>
      </c>
      <c r="E12" s="8" t="str">
        <f aca="false">INDEX(movelist!B:B, MATCH($D12, movelist!A:A, 0))</f>
        <v>1000</v>
      </c>
      <c r="F12" s="11" t="s">
        <v>11</v>
      </c>
      <c r="G12" s="5" t="n">
        <v>75</v>
      </c>
      <c r="H12" s="5" t="n">
        <v>0</v>
      </c>
      <c r="I12" s="5" t="n">
        <v>0</v>
      </c>
      <c r="J12" s="8" t="s">
        <v>14</v>
      </c>
    </row>
    <row r="13" customFormat="false" ht="14.25" hidden="false" customHeight="true" outlineLevel="0" collapsed="false">
      <c r="A13" s="1" t="n">
        <f aca="false">A12 + 4000</f>
        <v>36500</v>
      </c>
      <c r="B13" s="10" t="str">
        <f aca="false">INT(A13/60000) &amp; ":" &amp; INT(MOD(A13/1000, 60)) &amp; "." &amp; TEXT(INT(MOD(A13/1, 1000)), "000")</f>
        <v>0:36.500</v>
      </c>
      <c r="C13" s="7" t="s">
        <v>12</v>
      </c>
      <c r="D13" s="7" t="s">
        <v>13</v>
      </c>
      <c r="E13" s="8" t="str">
        <f aca="false">INDEX(movelist!B:B, MATCH($D13, movelist!A:A, 0))</f>
        <v>1000</v>
      </c>
      <c r="F13" s="11" t="s">
        <v>15</v>
      </c>
      <c r="G13" s="5" t="n">
        <v>75</v>
      </c>
      <c r="H13" s="5" t="n">
        <v>0</v>
      </c>
      <c r="I13" s="5" t="n">
        <v>0.15</v>
      </c>
      <c r="J13" s="8" t="s">
        <v>16</v>
      </c>
    </row>
    <row r="14" customFormat="false" ht="14.25" hidden="false" customHeight="true" outlineLevel="0" collapsed="false">
      <c r="A14" s="12" t="n">
        <f aca="false">A13+4000</f>
        <v>40500</v>
      </c>
      <c r="B14" s="10" t="str">
        <f aca="false">INT(A14/60000) &amp; ":" &amp; INT(MOD(A14/1000, 60)) &amp; "." &amp; TEXT(INT(MOD(A14/1, 1000)), "000")</f>
        <v>0:40.500</v>
      </c>
      <c r="C14" s="7" t="s">
        <v>12</v>
      </c>
      <c r="D14" s="7" t="s">
        <v>13</v>
      </c>
      <c r="E14" s="8" t="str">
        <f aca="false">INDEX(movelist!B:B, MATCH($D14, movelist!A:A, 0))</f>
        <v>1000</v>
      </c>
      <c r="F14" s="11" t="s">
        <v>11</v>
      </c>
      <c r="G14" s="5" t="n">
        <v>75</v>
      </c>
      <c r="H14" s="5" t="n">
        <v>0</v>
      </c>
      <c r="I14" s="5" t="n">
        <v>0</v>
      </c>
      <c r="J14" s="8" t="s">
        <v>14</v>
      </c>
    </row>
    <row r="15" customFormat="false" ht="14.25" hidden="false" customHeight="true" outlineLevel="0" collapsed="false">
      <c r="A15" s="1" t="n">
        <f aca="false">A14 + 4000</f>
        <v>44500</v>
      </c>
      <c r="B15" s="10" t="str">
        <f aca="false">INT(A15/60000) &amp; ":" &amp; INT(MOD(A15/1000, 60)) &amp; "." &amp; TEXT(INT(MOD(A15/1, 1000)), "000")</f>
        <v>0:44.500</v>
      </c>
      <c r="C15" s="7" t="s">
        <v>12</v>
      </c>
      <c r="D15" s="7" t="s">
        <v>13</v>
      </c>
      <c r="E15" s="8" t="str">
        <f aca="false">INDEX(movelist!B:B, MATCH($D15, movelist!A:A, 0))</f>
        <v>1000</v>
      </c>
      <c r="F15" s="11" t="s">
        <v>15</v>
      </c>
      <c r="G15" s="5" t="n">
        <v>75</v>
      </c>
      <c r="H15" s="5" t="n">
        <v>0</v>
      </c>
      <c r="I15" s="5" t="n">
        <v>0.15</v>
      </c>
      <c r="J15" s="8" t="s">
        <v>16</v>
      </c>
    </row>
    <row r="16" customFormat="false" ht="14.25" hidden="false" customHeight="true" outlineLevel="0" collapsed="false">
      <c r="A16" s="12" t="n">
        <f aca="false">A15+4000</f>
        <v>48500</v>
      </c>
      <c r="B16" s="10" t="str">
        <f aca="false">INT(A16/60000) &amp; ":" &amp; INT(MOD(A16/1000, 60)) &amp; "." &amp; TEXT(INT(MOD(A16/1, 1000)), "000")</f>
        <v>0:48.500</v>
      </c>
      <c r="C16" s="7" t="s">
        <v>12</v>
      </c>
      <c r="D16" s="7" t="s">
        <v>13</v>
      </c>
      <c r="E16" s="8" t="str">
        <f aca="false">INDEX(movelist!B:B, MATCH($D16, movelist!A:A, 0))</f>
        <v>1000</v>
      </c>
      <c r="F16" s="11" t="s">
        <v>11</v>
      </c>
      <c r="G16" s="5" t="n">
        <v>75</v>
      </c>
      <c r="H16" s="5" t="n">
        <v>0</v>
      </c>
      <c r="I16" s="5" t="n">
        <v>0</v>
      </c>
      <c r="J16" s="8" t="s">
        <v>14</v>
      </c>
    </row>
    <row r="17" customFormat="false" ht="14.25" hidden="false" customHeight="true" outlineLevel="0" collapsed="false">
      <c r="A17" s="1" t="n">
        <f aca="false">A16 + 4000</f>
        <v>52500</v>
      </c>
      <c r="B17" s="10" t="str">
        <f aca="false">INT(A17/60000) &amp; ":" &amp; INT(MOD(A17/1000, 60)) &amp; "." &amp; TEXT(INT(MOD(A17/1, 1000)), "000")</f>
        <v>0:52.500</v>
      </c>
      <c r="C17" s="7" t="s">
        <v>12</v>
      </c>
      <c r="D17" s="7" t="s">
        <v>13</v>
      </c>
      <c r="E17" s="8" t="str">
        <f aca="false">INDEX(movelist!B:B, MATCH($D17, movelist!A:A, 0))</f>
        <v>1000</v>
      </c>
      <c r="F17" s="11" t="s">
        <v>15</v>
      </c>
      <c r="G17" s="5" t="n">
        <v>75</v>
      </c>
      <c r="H17" s="5" t="n">
        <v>0</v>
      </c>
      <c r="I17" s="5" t="n">
        <v>0.15</v>
      </c>
      <c r="J17" s="8" t="s">
        <v>16</v>
      </c>
    </row>
    <row r="18" customFormat="false" ht="14.25" hidden="false" customHeight="true" outlineLevel="0" collapsed="false">
      <c r="A18" s="12" t="n">
        <f aca="false">A17+4000</f>
        <v>56500</v>
      </c>
      <c r="B18" s="10" t="str">
        <f aca="false">INT(A18/60000) &amp; ":" &amp; INT(MOD(A18/1000, 60)) &amp; "." &amp; TEXT(INT(MOD(A18/1, 1000)), "000")</f>
        <v>0:56.500</v>
      </c>
      <c r="C18" s="7" t="s">
        <v>12</v>
      </c>
      <c r="D18" s="7" t="s">
        <v>13</v>
      </c>
      <c r="E18" s="8" t="str">
        <f aca="false">INDEX(movelist!B:B, MATCH($D18, movelist!A:A, 0))</f>
        <v>1000</v>
      </c>
      <c r="F18" s="11" t="s">
        <v>11</v>
      </c>
      <c r="G18" s="5" t="n">
        <v>75</v>
      </c>
      <c r="H18" s="5" t="n">
        <v>0</v>
      </c>
      <c r="I18" s="5" t="n">
        <v>0</v>
      </c>
      <c r="J18" s="8" t="s">
        <v>14</v>
      </c>
    </row>
    <row r="19" customFormat="false" ht="14.25" hidden="false" customHeight="true" outlineLevel="0" collapsed="false">
      <c r="A19" s="1" t="n">
        <f aca="false">A18 + 4000</f>
        <v>60500</v>
      </c>
      <c r="B19" s="10" t="str">
        <f aca="false">INT(A19/60000) &amp; ":" &amp; INT(MOD(A19/1000, 60)) &amp; "." &amp; TEXT(INT(MOD(A19/1, 1000)), "000")</f>
        <v>1:0.500</v>
      </c>
      <c r="C19" s="7" t="s">
        <v>12</v>
      </c>
      <c r="D19" s="7" t="s">
        <v>13</v>
      </c>
      <c r="E19" s="8" t="str">
        <f aca="false">INDEX(movelist!B:B, MATCH($D19, movelist!A:A, 0))</f>
        <v>1000</v>
      </c>
      <c r="F19" s="11" t="s">
        <v>15</v>
      </c>
      <c r="G19" s="5" t="n">
        <v>75</v>
      </c>
      <c r="H19" s="5" t="n">
        <v>0</v>
      </c>
      <c r="I19" s="5" t="n">
        <v>0.15</v>
      </c>
      <c r="J19" s="8" t="s">
        <v>16</v>
      </c>
    </row>
    <row r="20" customFormat="false" ht="14.25" hidden="false" customHeight="true" outlineLevel="0" collapsed="false">
      <c r="A20" s="12" t="n">
        <f aca="false">A19+4000</f>
        <v>64500</v>
      </c>
      <c r="B20" s="10" t="str">
        <f aca="false">INT(A20/60000) &amp; ":" &amp; INT(MOD(A20/1000, 60)) &amp; "." &amp; TEXT(INT(MOD(A20/1, 1000)), "000")</f>
        <v>1:4.500</v>
      </c>
      <c r="C20" s="7" t="s">
        <v>12</v>
      </c>
      <c r="D20" s="7" t="s">
        <v>13</v>
      </c>
      <c r="E20" s="8" t="str">
        <f aca="false">INDEX(movelist!B:B, MATCH($D20, movelist!A:A, 0))</f>
        <v>1000</v>
      </c>
      <c r="F20" s="11" t="s">
        <v>11</v>
      </c>
      <c r="G20" s="5" t="n">
        <v>75</v>
      </c>
      <c r="H20" s="5" t="n">
        <v>0</v>
      </c>
      <c r="I20" s="5" t="n">
        <v>0</v>
      </c>
      <c r="J20" s="8" t="s">
        <v>14</v>
      </c>
    </row>
    <row r="21" customFormat="false" ht="14.25" hidden="false" customHeight="true" outlineLevel="0" collapsed="false">
      <c r="A21" s="1" t="n">
        <f aca="false">A20 + 4000</f>
        <v>68500</v>
      </c>
      <c r="B21" s="10" t="str">
        <f aca="false">INT(A21/60000) &amp; ":" &amp; INT(MOD(A21/1000, 60)) &amp; "." &amp; TEXT(INT(MOD(A21/1, 1000)), "000")</f>
        <v>1:8.500</v>
      </c>
      <c r="C21" s="7" t="s">
        <v>12</v>
      </c>
      <c r="D21" s="7" t="s">
        <v>13</v>
      </c>
      <c r="E21" s="8" t="str">
        <f aca="false">INDEX(movelist!B:B, MATCH($D21, movelist!A:A, 0))</f>
        <v>1000</v>
      </c>
      <c r="F21" s="11" t="s">
        <v>15</v>
      </c>
      <c r="G21" s="5" t="n">
        <v>75</v>
      </c>
      <c r="H21" s="5" t="n">
        <v>0</v>
      </c>
      <c r="I21" s="5" t="n">
        <v>0.15</v>
      </c>
      <c r="J21" s="8" t="s">
        <v>16</v>
      </c>
    </row>
    <row r="22" customFormat="false" ht="12.75" hidden="false" customHeight="true" outlineLevel="0" collapsed="false">
      <c r="A22" s="12" t="n">
        <f aca="false">A21+4000</f>
        <v>72500</v>
      </c>
      <c r="B22" s="10" t="str">
        <f aca="false">INT(A22/60000) &amp; ":" &amp; INT(MOD(A22/1000, 60)) &amp; "." &amp; TEXT(INT(MOD(A22/1, 1000)), "000")</f>
        <v>1:12.500</v>
      </c>
      <c r="C22" s="7" t="s">
        <v>12</v>
      </c>
      <c r="D22" s="7" t="s">
        <v>13</v>
      </c>
      <c r="E22" s="8" t="str">
        <f aca="false">INDEX(movelist!B:B, MATCH($D22, movelist!A:A, 0))</f>
        <v>1000</v>
      </c>
      <c r="F22" s="11" t="s">
        <v>11</v>
      </c>
      <c r="G22" s="5" t="n">
        <v>75</v>
      </c>
      <c r="H22" s="5" t="n">
        <v>0</v>
      </c>
      <c r="I22" s="5" t="n">
        <v>0</v>
      </c>
      <c r="J22" s="8" t="s">
        <v>14</v>
      </c>
    </row>
    <row r="23" customFormat="false" ht="12.75" hidden="false" customHeight="true" outlineLevel="0" collapsed="false">
      <c r="A23" s="1" t="n">
        <f aca="false">A22 + 4000</f>
        <v>76500</v>
      </c>
      <c r="B23" s="10" t="str">
        <f aca="false">INT(A23/60000) &amp; ":" &amp; INT(MOD(A23/1000, 60)) &amp; "." &amp; TEXT(INT(MOD(A23/1, 1000)), "000")</f>
        <v>1:16.500</v>
      </c>
      <c r="C23" s="7" t="s">
        <v>12</v>
      </c>
      <c r="D23" s="7" t="s">
        <v>13</v>
      </c>
      <c r="E23" s="8" t="str">
        <f aca="false">INDEX(movelist!B:B, MATCH($D23, movelist!A:A, 0))</f>
        <v>1000</v>
      </c>
      <c r="F23" s="11" t="s">
        <v>15</v>
      </c>
      <c r="G23" s="5" t="n">
        <v>75</v>
      </c>
      <c r="H23" s="5" t="n">
        <v>0</v>
      </c>
      <c r="I23" s="5" t="n">
        <v>0.15</v>
      </c>
      <c r="J23" s="8" t="s">
        <v>16</v>
      </c>
    </row>
    <row r="24" customFormat="false" ht="12.75" hidden="false" customHeight="true" outlineLevel="0" collapsed="false">
      <c r="A24" s="12" t="n">
        <f aca="false">A23+4000</f>
        <v>80500</v>
      </c>
      <c r="B24" s="10" t="str">
        <f aca="false">INT(A24/60000) &amp; ":" &amp; INT(MOD(A24/1000, 60)) &amp; "." &amp; TEXT(INT(MOD(A24/1, 1000)), "000")</f>
        <v>1:20.500</v>
      </c>
      <c r="C24" s="7" t="s">
        <v>12</v>
      </c>
      <c r="D24" s="7" t="s">
        <v>13</v>
      </c>
      <c r="E24" s="8" t="str">
        <f aca="false">INDEX(movelist!B:B, MATCH($D24, movelist!A:A, 0))</f>
        <v>1000</v>
      </c>
      <c r="F24" s="11" t="s">
        <v>11</v>
      </c>
      <c r="G24" s="5" t="n">
        <v>75</v>
      </c>
      <c r="H24" s="5" t="n">
        <v>0</v>
      </c>
      <c r="I24" s="5" t="n">
        <v>0</v>
      </c>
      <c r="J24" s="8" t="s">
        <v>14</v>
      </c>
    </row>
    <row r="25" customFormat="false" ht="12.75" hidden="false" customHeight="true" outlineLevel="0" collapsed="false">
      <c r="A25" s="1" t="n">
        <f aca="false">A24 + 4000</f>
        <v>84500</v>
      </c>
      <c r="B25" s="10" t="str">
        <f aca="false">INT(A25/60000) &amp; ":" &amp; INT(MOD(A25/1000, 60)) &amp; "." &amp; TEXT(INT(MOD(A25/1, 1000)), "000")</f>
        <v>1:24.500</v>
      </c>
      <c r="C25" s="7" t="s">
        <v>12</v>
      </c>
      <c r="D25" s="7" t="s">
        <v>13</v>
      </c>
      <c r="E25" s="8" t="str">
        <f aca="false">INDEX(movelist!B:B, MATCH($D25, movelist!A:A, 0))</f>
        <v>1000</v>
      </c>
      <c r="F25" s="11" t="s">
        <v>15</v>
      </c>
      <c r="G25" s="5" t="n">
        <v>75</v>
      </c>
      <c r="H25" s="5" t="n">
        <v>0</v>
      </c>
      <c r="I25" s="5" t="n">
        <v>0.15</v>
      </c>
      <c r="J25" s="8" t="s">
        <v>16</v>
      </c>
    </row>
    <row r="26" customFormat="false" ht="12.75" hidden="false" customHeight="true" outlineLevel="0" collapsed="false">
      <c r="A26" s="12" t="n">
        <f aca="false">A25+4000</f>
        <v>88500</v>
      </c>
      <c r="B26" s="10" t="str">
        <f aca="false">INT(A26/60000) &amp; ":" &amp; INT(MOD(A26/1000, 60)) &amp; "." &amp; TEXT(INT(MOD(A26/1, 1000)), "000")</f>
        <v>1:28.500</v>
      </c>
      <c r="C26" s="7" t="s">
        <v>12</v>
      </c>
      <c r="D26" s="7" t="s">
        <v>13</v>
      </c>
      <c r="E26" s="8" t="str">
        <f aca="false">INDEX(movelist!B:B, MATCH($D26, movelist!A:A, 0))</f>
        <v>1000</v>
      </c>
      <c r="F26" s="11" t="s">
        <v>11</v>
      </c>
      <c r="G26" s="5" t="n">
        <v>75</v>
      </c>
      <c r="H26" s="5" t="n">
        <v>0</v>
      </c>
      <c r="I26" s="5" t="n">
        <v>0</v>
      </c>
      <c r="J26" s="8" t="s">
        <v>14</v>
      </c>
    </row>
    <row r="27" customFormat="false" ht="12.75" hidden="false" customHeight="true" outlineLevel="0" collapsed="false">
      <c r="A27" s="1" t="n">
        <f aca="false">A26 + 4000</f>
        <v>92500</v>
      </c>
      <c r="B27" s="10" t="str">
        <f aca="false">INT(A27/60000) &amp; ":" &amp; INT(MOD(A27/1000, 60)) &amp; "." &amp; TEXT(INT(MOD(A27/1, 1000)), "000")</f>
        <v>1:32.500</v>
      </c>
      <c r="C27" s="7" t="s">
        <v>12</v>
      </c>
      <c r="D27" s="7" t="s">
        <v>13</v>
      </c>
      <c r="E27" s="8" t="str">
        <f aca="false">INDEX(movelist!B:B, MATCH($D27, movelist!A:A, 0))</f>
        <v>1000</v>
      </c>
      <c r="F27" s="11" t="s">
        <v>15</v>
      </c>
      <c r="G27" s="5" t="n">
        <v>75</v>
      </c>
      <c r="H27" s="5" t="n">
        <v>0</v>
      </c>
      <c r="I27" s="5" t="n">
        <v>0.15</v>
      </c>
      <c r="J27" s="8" t="s">
        <v>16</v>
      </c>
    </row>
    <row r="28" customFormat="false" ht="12.75" hidden="false" customHeight="true" outlineLevel="0" collapsed="false">
      <c r="A28" s="12" t="n">
        <f aca="false">A27+4000</f>
        <v>96500</v>
      </c>
      <c r="B28" s="10" t="str">
        <f aca="false">INT(A28/60000) &amp; ":" &amp; INT(MOD(A28/1000, 60)) &amp; "." &amp; TEXT(INT(MOD(A28/1, 1000)), "000")</f>
        <v>1:36.500</v>
      </c>
      <c r="C28" s="7" t="s">
        <v>12</v>
      </c>
      <c r="D28" s="7" t="s">
        <v>13</v>
      </c>
      <c r="E28" s="8" t="str">
        <f aca="false">INDEX(movelist!B:B, MATCH($D28, movelist!A:A, 0))</f>
        <v>1000</v>
      </c>
      <c r="F28" s="11" t="s">
        <v>11</v>
      </c>
      <c r="G28" s="5" t="n">
        <v>75</v>
      </c>
      <c r="H28" s="5" t="n">
        <v>0</v>
      </c>
      <c r="I28" s="5" t="n">
        <v>0</v>
      </c>
      <c r="J28" s="8" t="s">
        <v>14</v>
      </c>
    </row>
    <row r="29" customFormat="false" ht="12.75" hidden="false" customHeight="true" outlineLevel="0" collapsed="false">
      <c r="A29" s="1" t="n">
        <f aca="false">A28 + 4000</f>
        <v>100500</v>
      </c>
      <c r="B29" s="10" t="str">
        <f aca="false">INT(A29/60000) &amp; ":" &amp; INT(MOD(A29/1000, 60)) &amp; "." &amp; TEXT(INT(MOD(A29/1, 1000)), "000")</f>
        <v>1:40.500</v>
      </c>
      <c r="C29" s="7" t="s">
        <v>12</v>
      </c>
      <c r="D29" s="7" t="s">
        <v>13</v>
      </c>
      <c r="E29" s="8" t="str">
        <f aca="false">INDEX(movelist!B:B, MATCH($D29, movelist!A:A, 0))</f>
        <v>1000</v>
      </c>
      <c r="F29" s="11" t="s">
        <v>15</v>
      </c>
      <c r="G29" s="5" t="n">
        <v>75</v>
      </c>
      <c r="H29" s="5" t="n">
        <v>0</v>
      </c>
      <c r="I29" s="5" t="n">
        <v>0.15</v>
      </c>
      <c r="J29" s="8" t="s">
        <v>16</v>
      </c>
    </row>
    <row r="30" customFormat="false" ht="12.75" hidden="false" customHeight="true" outlineLevel="0" collapsed="false">
      <c r="A30" s="12" t="n">
        <f aca="false">A29+4000</f>
        <v>104500</v>
      </c>
      <c r="B30" s="10" t="str">
        <f aca="false">INT(A30/60000) &amp; ":" &amp; INT(MOD(A30/1000, 60)) &amp; "." &amp; TEXT(INT(MOD(A30/1, 1000)), "000")</f>
        <v>1:44.500</v>
      </c>
      <c r="C30" s="7" t="s">
        <v>12</v>
      </c>
      <c r="D30" s="7" t="s">
        <v>13</v>
      </c>
      <c r="E30" s="8" t="str">
        <f aca="false">INDEX(movelist!B:B, MATCH($D30, movelist!A:A, 0))</f>
        <v>1000</v>
      </c>
      <c r="F30" s="11" t="s">
        <v>11</v>
      </c>
      <c r="G30" s="5" t="n">
        <v>75</v>
      </c>
      <c r="H30" s="5" t="n">
        <v>0</v>
      </c>
      <c r="I30" s="5" t="n">
        <v>0</v>
      </c>
      <c r="J30" s="8" t="s">
        <v>14</v>
      </c>
    </row>
    <row r="31" customFormat="false" ht="12.75" hidden="false" customHeight="true" outlineLevel="0" collapsed="false">
      <c r="A31" s="1" t="n">
        <f aca="false">A30 + 4000</f>
        <v>108500</v>
      </c>
      <c r="B31" s="10" t="str">
        <f aca="false">INT(A31/60000) &amp; ":" &amp; INT(MOD(A31/1000, 60)) &amp; "." &amp; TEXT(INT(MOD(A31/1, 1000)), "000")</f>
        <v>1:48.500</v>
      </c>
      <c r="C31" s="7" t="s">
        <v>12</v>
      </c>
      <c r="D31" s="7" t="s">
        <v>13</v>
      </c>
      <c r="E31" s="8" t="str">
        <f aca="false">INDEX(movelist!B:B, MATCH($D31, movelist!A:A, 0))</f>
        <v>1000</v>
      </c>
      <c r="F31" s="11" t="s">
        <v>15</v>
      </c>
      <c r="G31" s="5" t="n">
        <v>75</v>
      </c>
      <c r="H31" s="5" t="n">
        <v>0</v>
      </c>
      <c r="I31" s="5" t="n">
        <v>0.15</v>
      </c>
      <c r="J31" s="8" t="s">
        <v>16</v>
      </c>
    </row>
    <row r="32" customFormat="false" ht="12.75" hidden="false" customHeight="true" outlineLevel="0" collapsed="false">
      <c r="A32" s="12" t="n">
        <f aca="false">A31+4000</f>
        <v>112500</v>
      </c>
      <c r="B32" s="10" t="str">
        <f aca="false">INT(A32/60000) &amp; ":" &amp; INT(MOD(A32/1000, 60)) &amp; "." &amp; TEXT(INT(MOD(A32/1, 1000)), "000")</f>
        <v>1:52.500</v>
      </c>
      <c r="C32" s="7" t="s">
        <v>12</v>
      </c>
      <c r="D32" s="7" t="s">
        <v>13</v>
      </c>
      <c r="E32" s="8" t="str">
        <f aca="false">INDEX(movelist!B:B, MATCH($D32, movelist!A:A, 0))</f>
        <v>1000</v>
      </c>
      <c r="F32" s="11" t="s">
        <v>11</v>
      </c>
      <c r="G32" s="5" t="n">
        <v>75</v>
      </c>
      <c r="H32" s="5" t="n">
        <v>0</v>
      </c>
      <c r="I32" s="5" t="n">
        <v>0</v>
      </c>
      <c r="J32" s="8" t="s">
        <v>14</v>
      </c>
    </row>
    <row r="33" customFormat="false" ht="12.75" hidden="false" customHeight="true" outlineLevel="0" collapsed="false">
      <c r="A33" s="1" t="n">
        <f aca="false">A32 + 4000</f>
        <v>116500</v>
      </c>
      <c r="B33" s="10" t="str">
        <f aca="false">INT(A33/60000) &amp; ":" &amp; INT(MOD(A33/1000, 60)) &amp; "." &amp; TEXT(INT(MOD(A33/1, 1000)), "000")</f>
        <v>1:56.500</v>
      </c>
      <c r="C33" s="7" t="s">
        <v>12</v>
      </c>
      <c r="D33" s="7" t="s">
        <v>13</v>
      </c>
      <c r="E33" s="8" t="str">
        <f aca="false">INDEX(movelist!B:B, MATCH($D33, movelist!A:A, 0))</f>
        <v>1000</v>
      </c>
      <c r="F33" s="11" t="s">
        <v>15</v>
      </c>
      <c r="G33" s="5" t="n">
        <v>75</v>
      </c>
      <c r="H33" s="5" t="n">
        <v>0</v>
      </c>
      <c r="I33" s="5" t="n">
        <v>0.15</v>
      </c>
      <c r="J33" s="8" t="s">
        <v>16</v>
      </c>
    </row>
    <row r="34" customFormat="false" ht="12.75" hidden="false" customHeight="true" outlineLevel="0" collapsed="false">
      <c r="A34" s="12" t="n">
        <f aca="false">A33+4000</f>
        <v>120500</v>
      </c>
      <c r="B34" s="10" t="str">
        <f aca="false">INT(A34/60000) &amp; ":" &amp; INT(MOD(A34/1000, 60)) &amp; "." &amp; TEXT(INT(MOD(A34/1, 1000)), "000")</f>
        <v>2:0.500</v>
      </c>
      <c r="C34" s="7" t="s">
        <v>12</v>
      </c>
      <c r="D34" s="7" t="s">
        <v>13</v>
      </c>
      <c r="E34" s="8" t="str">
        <f aca="false">INDEX(movelist!B:B, MATCH($D34, movelist!A:A, 0))</f>
        <v>1000</v>
      </c>
      <c r="F34" s="11" t="s">
        <v>11</v>
      </c>
      <c r="G34" s="5" t="n">
        <v>75</v>
      </c>
      <c r="H34" s="5" t="n">
        <v>0</v>
      </c>
      <c r="I34" s="5" t="n">
        <v>0</v>
      </c>
      <c r="J34" s="8" t="s">
        <v>14</v>
      </c>
    </row>
    <row r="35" customFormat="false" ht="12.75" hidden="false" customHeight="true" outlineLevel="0" collapsed="false">
      <c r="A35" s="1" t="n">
        <f aca="false">A34 + 4000</f>
        <v>124500</v>
      </c>
      <c r="B35" s="10" t="str">
        <f aca="false">INT(A35/60000) &amp; ":" &amp; INT(MOD(A35/1000, 60)) &amp; "." &amp; TEXT(INT(MOD(A35/1, 1000)), "000")</f>
        <v>2:4.500</v>
      </c>
      <c r="C35" s="7" t="s">
        <v>12</v>
      </c>
      <c r="D35" s="7" t="s">
        <v>13</v>
      </c>
      <c r="E35" s="8" t="str">
        <f aca="false">INDEX(movelist!B:B, MATCH($D35, movelist!A:A, 0))</f>
        <v>1000</v>
      </c>
      <c r="F35" s="11" t="s">
        <v>15</v>
      </c>
      <c r="G35" s="5" t="n">
        <v>75</v>
      </c>
      <c r="H35" s="5" t="n">
        <v>0</v>
      </c>
      <c r="I35" s="5" t="n">
        <v>0.15</v>
      </c>
      <c r="J35" s="8" t="s">
        <v>16</v>
      </c>
    </row>
    <row r="36" customFormat="false" ht="12.75" hidden="false" customHeight="true" outlineLevel="0" collapsed="false">
      <c r="A36" s="12" t="n">
        <f aca="false">A35+4000</f>
        <v>128500</v>
      </c>
      <c r="B36" s="10" t="str">
        <f aca="false">INT(A36/60000) &amp; ":" &amp; INT(MOD(A36/1000, 60)) &amp; "." &amp; TEXT(INT(MOD(A36/1, 1000)), "000")</f>
        <v>2:8.500</v>
      </c>
      <c r="C36" s="7" t="s">
        <v>12</v>
      </c>
      <c r="D36" s="7" t="s">
        <v>13</v>
      </c>
      <c r="E36" s="8" t="str">
        <f aca="false">INDEX(movelist!B:B, MATCH($D36, movelist!A:A, 0))</f>
        <v>1000</v>
      </c>
      <c r="F36" s="11" t="s">
        <v>11</v>
      </c>
      <c r="G36" s="5" t="n">
        <v>75</v>
      </c>
      <c r="H36" s="5" t="n">
        <v>0</v>
      </c>
      <c r="I36" s="5" t="n">
        <v>0</v>
      </c>
      <c r="J36" s="8" t="s">
        <v>14</v>
      </c>
    </row>
    <row r="37" customFormat="false" ht="12.75" hidden="false" customHeight="true" outlineLevel="0" collapsed="false">
      <c r="A37" s="1" t="n">
        <f aca="false">A36 + 4000</f>
        <v>132500</v>
      </c>
      <c r="B37" s="10" t="str">
        <f aca="false">INT(A37/60000) &amp; ":" &amp; INT(MOD(A37/1000, 60)) &amp; "." &amp; TEXT(INT(MOD(A37/1, 1000)), "000")</f>
        <v>2:12.500</v>
      </c>
      <c r="C37" s="7" t="s">
        <v>12</v>
      </c>
      <c r="D37" s="7" t="s">
        <v>13</v>
      </c>
      <c r="E37" s="8" t="str">
        <f aca="false">INDEX(movelist!B:B, MATCH($D37, movelist!A:A, 0))</f>
        <v>1000</v>
      </c>
      <c r="F37" s="11" t="s">
        <v>15</v>
      </c>
      <c r="G37" s="5" t="n">
        <v>75</v>
      </c>
      <c r="H37" s="5" t="n">
        <v>0</v>
      </c>
      <c r="I37" s="5" t="n">
        <v>0.15</v>
      </c>
      <c r="J37" s="8" t="s">
        <v>16</v>
      </c>
    </row>
    <row r="38" customFormat="false" ht="12.75" hidden="false" customHeight="true" outlineLevel="0" collapsed="false">
      <c r="A38" s="12" t="n">
        <f aca="false">A37+4000</f>
        <v>136500</v>
      </c>
      <c r="B38" s="10" t="str">
        <f aca="false">INT(A38/60000) &amp; ":" &amp; INT(MOD(A38/1000, 60)) &amp; "." &amp; TEXT(INT(MOD(A38/1, 1000)), "000")</f>
        <v>2:16.500</v>
      </c>
      <c r="C38" s="7" t="s">
        <v>12</v>
      </c>
      <c r="D38" s="7" t="s">
        <v>13</v>
      </c>
      <c r="E38" s="8" t="str">
        <f aca="false">INDEX(movelist!B:B, MATCH($D38, movelist!A:A, 0))</f>
        <v>1000</v>
      </c>
      <c r="F38" s="11" t="s">
        <v>11</v>
      </c>
      <c r="G38" s="5" t="n">
        <v>75</v>
      </c>
      <c r="H38" s="5" t="n">
        <v>0</v>
      </c>
      <c r="I38" s="5" t="n">
        <v>0</v>
      </c>
      <c r="J38" s="8" t="s">
        <v>14</v>
      </c>
    </row>
    <row r="39" customFormat="false" ht="12.75" hidden="false" customHeight="true" outlineLevel="0" collapsed="false">
      <c r="A39" s="1" t="n">
        <f aca="false">A38 + 4000</f>
        <v>140500</v>
      </c>
      <c r="B39" s="10" t="str">
        <f aca="false">INT(A39/60000) &amp; ":" &amp; INT(MOD(A39/1000, 60)) &amp; "." &amp; TEXT(INT(MOD(A39/1, 1000)), "000")</f>
        <v>2:20.500</v>
      </c>
      <c r="C39" s="7" t="s">
        <v>12</v>
      </c>
      <c r="D39" s="7" t="s">
        <v>13</v>
      </c>
      <c r="E39" s="8" t="str">
        <f aca="false">INDEX(movelist!B:B, MATCH($D39, movelist!A:A, 0))</f>
        <v>1000</v>
      </c>
      <c r="F39" s="11" t="s">
        <v>15</v>
      </c>
      <c r="G39" s="5" t="n">
        <v>75</v>
      </c>
      <c r="H39" s="5" t="n">
        <v>0</v>
      </c>
      <c r="I39" s="5" t="n">
        <v>0.15</v>
      </c>
      <c r="J39" s="8" t="s">
        <v>16</v>
      </c>
    </row>
    <row r="40" customFormat="false" ht="12.75" hidden="false" customHeight="true" outlineLevel="0" collapsed="false">
      <c r="A40" s="12" t="n">
        <f aca="false">A39+4000</f>
        <v>144500</v>
      </c>
      <c r="B40" s="10" t="str">
        <f aca="false">INT(A40/60000) &amp; ":" &amp; INT(MOD(A40/1000, 60)) &amp; "." &amp; TEXT(INT(MOD(A40/1, 1000)), "000")</f>
        <v>2:24.500</v>
      </c>
      <c r="C40" s="7" t="s">
        <v>12</v>
      </c>
      <c r="D40" s="7" t="s">
        <v>13</v>
      </c>
      <c r="E40" s="8" t="str">
        <f aca="false">INDEX(movelist!B:B, MATCH($D40, movelist!A:A, 0))</f>
        <v>1000</v>
      </c>
      <c r="F40" s="11" t="s">
        <v>11</v>
      </c>
      <c r="G40" s="5" t="n">
        <v>75</v>
      </c>
      <c r="H40" s="5" t="n">
        <v>0</v>
      </c>
      <c r="I40" s="5" t="n">
        <v>0</v>
      </c>
      <c r="J40" s="8" t="s">
        <v>14</v>
      </c>
    </row>
    <row r="41" customFormat="false" ht="12.75" hidden="false" customHeight="true" outlineLevel="0" collapsed="false">
      <c r="A41" s="1" t="n">
        <f aca="false">A40 + 4000</f>
        <v>148500</v>
      </c>
      <c r="B41" s="10" t="str">
        <f aca="false">INT(A41/60000) &amp; ":" &amp; INT(MOD(A41/1000, 60)) &amp; "." &amp; TEXT(INT(MOD(A41/1, 1000)), "000")</f>
        <v>2:28.500</v>
      </c>
      <c r="C41" s="7" t="s">
        <v>12</v>
      </c>
      <c r="D41" s="7" t="s">
        <v>13</v>
      </c>
      <c r="E41" s="8" t="str">
        <f aca="false">INDEX(movelist!B:B, MATCH($D41, movelist!A:A, 0))</f>
        <v>1000</v>
      </c>
      <c r="F41" s="11" t="s">
        <v>15</v>
      </c>
      <c r="G41" s="5" t="n">
        <v>75</v>
      </c>
      <c r="H41" s="5" t="n">
        <v>0</v>
      </c>
      <c r="I41" s="5" t="n">
        <v>0.15</v>
      </c>
      <c r="J41" s="8" t="s">
        <v>16</v>
      </c>
    </row>
    <row r="42" customFormat="false" ht="12.75" hidden="false" customHeight="true" outlineLevel="0" collapsed="false">
      <c r="A42" s="12" t="n">
        <f aca="false">A41+4000</f>
        <v>152500</v>
      </c>
      <c r="B42" s="10" t="str">
        <f aca="false">INT(A42/60000) &amp; ":" &amp; INT(MOD(A42/1000, 60)) &amp; "." &amp; TEXT(INT(MOD(A42/1, 1000)), "000")</f>
        <v>2:32.500</v>
      </c>
      <c r="C42" s="7" t="s">
        <v>12</v>
      </c>
      <c r="D42" s="7" t="s">
        <v>13</v>
      </c>
      <c r="E42" s="8" t="str">
        <f aca="false">INDEX(movelist!B:B, MATCH($D42, movelist!A:A, 0))</f>
        <v>1000</v>
      </c>
      <c r="F42" s="11" t="s">
        <v>11</v>
      </c>
      <c r="G42" s="5" t="n">
        <v>75</v>
      </c>
      <c r="H42" s="5" t="n">
        <v>0</v>
      </c>
      <c r="I42" s="5" t="n">
        <v>0</v>
      </c>
      <c r="J42" s="8" t="s">
        <v>14</v>
      </c>
    </row>
    <row r="43" customFormat="false" ht="12.75" hidden="false" customHeight="true" outlineLevel="0" collapsed="false">
      <c r="A43" s="1" t="n">
        <f aca="false">A42 + 4000</f>
        <v>156500</v>
      </c>
      <c r="B43" s="10" t="str">
        <f aca="false">INT(A43/60000) &amp; ":" &amp; INT(MOD(A43/1000, 60)) &amp; "." &amp; TEXT(INT(MOD(A43/1, 1000)), "000")</f>
        <v>2:36.500</v>
      </c>
      <c r="C43" s="7" t="s">
        <v>12</v>
      </c>
      <c r="D43" s="7" t="s">
        <v>13</v>
      </c>
      <c r="E43" s="8" t="str">
        <f aca="false">INDEX(movelist!B:B, MATCH($D43, movelist!A:A, 0))</f>
        <v>1000</v>
      </c>
      <c r="F43" s="11" t="s">
        <v>15</v>
      </c>
      <c r="G43" s="5" t="n">
        <v>75</v>
      </c>
      <c r="H43" s="5" t="n">
        <v>0</v>
      </c>
      <c r="I43" s="5" t="n">
        <v>0.15</v>
      </c>
      <c r="J43" s="8" t="s">
        <v>16</v>
      </c>
    </row>
    <row r="44" customFormat="false" ht="12.75" hidden="false" customHeight="true" outlineLevel="0" collapsed="false">
      <c r="A44" s="12" t="n">
        <f aca="false">A43+4000</f>
        <v>160500</v>
      </c>
      <c r="B44" s="10" t="str">
        <f aca="false">INT(A44/60000) &amp; ":" &amp; INT(MOD(A44/1000, 60)) &amp; "." &amp; TEXT(INT(MOD(A44/1, 1000)), "000")</f>
        <v>2:40.500</v>
      </c>
      <c r="C44" s="7" t="s">
        <v>12</v>
      </c>
      <c r="D44" s="7" t="s">
        <v>13</v>
      </c>
      <c r="E44" s="8" t="str">
        <f aca="false">INDEX(movelist!B:B, MATCH($D44, movelist!A:A, 0))</f>
        <v>1000</v>
      </c>
      <c r="F44" s="11" t="s">
        <v>11</v>
      </c>
      <c r="G44" s="5" t="n">
        <v>75</v>
      </c>
      <c r="H44" s="5" t="n">
        <v>0</v>
      </c>
      <c r="I44" s="5" t="n">
        <v>0</v>
      </c>
      <c r="J44" s="8" t="s">
        <v>14</v>
      </c>
    </row>
    <row r="45" customFormat="false" ht="12.75" hidden="false" customHeight="true" outlineLevel="0" collapsed="false">
      <c r="A45" s="1" t="n">
        <f aca="false">A44 + 4000</f>
        <v>164500</v>
      </c>
      <c r="B45" s="10" t="str">
        <f aca="false">INT(A45/60000) &amp; ":" &amp; INT(MOD(A45/1000, 60)) &amp; "." &amp; TEXT(INT(MOD(A45/1, 1000)), "000")</f>
        <v>2:44.500</v>
      </c>
      <c r="C45" s="7" t="s">
        <v>12</v>
      </c>
      <c r="D45" s="7" t="s">
        <v>13</v>
      </c>
      <c r="E45" s="8" t="str">
        <f aca="false">INDEX(movelist!B:B, MATCH($D45, movelist!A:A, 0))</f>
        <v>1000</v>
      </c>
      <c r="F45" s="11" t="s">
        <v>15</v>
      </c>
      <c r="G45" s="5" t="n">
        <v>75</v>
      </c>
      <c r="H45" s="5" t="n">
        <v>0</v>
      </c>
      <c r="I45" s="5" t="n">
        <v>0.15</v>
      </c>
      <c r="J45" s="8" t="s">
        <v>16</v>
      </c>
    </row>
    <row r="46" customFormat="false" ht="12.75" hidden="false" customHeight="true" outlineLevel="0" collapsed="false">
      <c r="A46" s="12" t="n">
        <f aca="false">A45+4000</f>
        <v>168500</v>
      </c>
      <c r="B46" s="10" t="str">
        <f aca="false">INT(A46/60000) &amp; ":" &amp; INT(MOD(A46/1000, 60)) &amp; "." &amp; TEXT(INT(MOD(A46/1, 1000)), "000")</f>
        <v>2:48.500</v>
      </c>
      <c r="C46" s="7" t="s">
        <v>12</v>
      </c>
      <c r="D46" s="7" t="s">
        <v>13</v>
      </c>
      <c r="E46" s="8" t="str">
        <f aca="false">INDEX(movelist!B:B, MATCH($D46, movelist!A:A, 0))</f>
        <v>1000</v>
      </c>
      <c r="F46" s="11" t="s">
        <v>11</v>
      </c>
      <c r="G46" s="5" t="n">
        <v>75</v>
      </c>
      <c r="H46" s="5" t="n">
        <v>0</v>
      </c>
      <c r="I46" s="5" t="n">
        <v>0</v>
      </c>
      <c r="J46" s="8" t="s">
        <v>14</v>
      </c>
    </row>
    <row r="47" customFormat="false" ht="12.75" hidden="false" customHeight="true" outlineLevel="0" collapsed="false">
      <c r="A47" s="1" t="n">
        <f aca="false">A46 + 4000</f>
        <v>172500</v>
      </c>
      <c r="B47" s="10" t="str">
        <f aca="false">INT(A47/60000) &amp; ":" &amp; INT(MOD(A47/1000, 60)) &amp; "." &amp; TEXT(INT(MOD(A47/1, 1000)), "000")</f>
        <v>2:52.500</v>
      </c>
      <c r="C47" s="7" t="s">
        <v>12</v>
      </c>
      <c r="D47" s="7" t="s">
        <v>13</v>
      </c>
      <c r="E47" s="8" t="str">
        <f aca="false">INDEX(movelist!B:B, MATCH($D47, movelist!A:A, 0))</f>
        <v>1000</v>
      </c>
      <c r="F47" s="11" t="s">
        <v>15</v>
      </c>
      <c r="G47" s="5" t="n">
        <v>75</v>
      </c>
      <c r="H47" s="5" t="n">
        <v>0</v>
      </c>
      <c r="I47" s="5" t="n">
        <v>0.15</v>
      </c>
      <c r="J47" s="8" t="s">
        <v>16</v>
      </c>
    </row>
    <row r="48" customFormat="false" ht="12.75" hidden="false" customHeight="true" outlineLevel="0" collapsed="false">
      <c r="A48" s="12" t="n">
        <f aca="false">A47+4000</f>
        <v>176500</v>
      </c>
      <c r="B48" s="10" t="str">
        <f aca="false">INT(A48/60000) &amp; ":" &amp; INT(MOD(A48/1000, 60)) &amp; "." &amp; TEXT(INT(MOD(A48/1, 1000)), "000")</f>
        <v>2:56.500</v>
      </c>
      <c r="C48" s="7" t="s">
        <v>12</v>
      </c>
      <c r="D48" s="7" t="s">
        <v>13</v>
      </c>
      <c r="E48" s="8" t="str">
        <f aca="false">INDEX(movelist!B:B, MATCH($D48, movelist!A:A, 0))</f>
        <v>1000</v>
      </c>
      <c r="F48" s="11" t="s">
        <v>11</v>
      </c>
      <c r="G48" s="5" t="n">
        <v>75</v>
      </c>
      <c r="H48" s="5" t="n">
        <v>0</v>
      </c>
      <c r="I48" s="5" t="n">
        <v>0</v>
      </c>
      <c r="J48" s="8" t="s">
        <v>14</v>
      </c>
    </row>
    <row r="49" customFormat="false" ht="12.75" hidden="false" customHeight="true" outlineLevel="0" collapsed="false">
      <c r="A49" s="1" t="n">
        <f aca="false">A48 + 4000</f>
        <v>180500</v>
      </c>
      <c r="B49" s="10" t="str">
        <f aca="false">INT(A49/60000) &amp; ":" &amp; INT(MOD(A49/1000, 60)) &amp; "." &amp; TEXT(INT(MOD(A49/1, 1000)), "000")</f>
        <v>3:0.500</v>
      </c>
      <c r="C49" s="7" t="s">
        <v>12</v>
      </c>
      <c r="D49" s="7" t="s">
        <v>13</v>
      </c>
      <c r="E49" s="8" t="str">
        <f aca="false">INDEX(movelist!B:B, MATCH($D49, movelist!A:A, 0))</f>
        <v>1000</v>
      </c>
      <c r="F49" s="11" t="s">
        <v>15</v>
      </c>
      <c r="G49" s="5" t="n">
        <v>75</v>
      </c>
      <c r="H49" s="5" t="n">
        <v>0</v>
      </c>
      <c r="I49" s="5" t="n">
        <v>0.15</v>
      </c>
      <c r="J49" s="8" t="s">
        <v>16</v>
      </c>
    </row>
    <row r="50" customFormat="false" ht="12.75" hidden="false" customHeight="true" outlineLevel="0" collapsed="false">
      <c r="A50" s="12" t="n">
        <f aca="false">A49+4000</f>
        <v>184500</v>
      </c>
      <c r="B50" s="10" t="str">
        <f aca="false">INT(A50/60000) &amp; ":" &amp; INT(MOD(A50/1000, 60)) &amp; "." &amp; TEXT(INT(MOD(A50/1, 1000)), "000")</f>
        <v>3:4.500</v>
      </c>
      <c r="C50" s="7" t="s">
        <v>12</v>
      </c>
      <c r="D50" s="7" t="s">
        <v>13</v>
      </c>
      <c r="E50" s="8" t="str">
        <f aca="false">INDEX(movelist!B:B, MATCH($D50, movelist!A:A, 0))</f>
        <v>1000</v>
      </c>
      <c r="F50" s="11" t="s">
        <v>11</v>
      </c>
      <c r="G50" s="5" t="n">
        <v>75</v>
      </c>
      <c r="H50" s="5" t="n">
        <v>0</v>
      </c>
      <c r="I50" s="5" t="n">
        <v>0</v>
      </c>
      <c r="J50" s="8" t="s">
        <v>14</v>
      </c>
    </row>
    <row r="51" customFormat="false" ht="12.75" hidden="false" customHeight="true" outlineLevel="0" collapsed="false">
      <c r="A51" s="1" t="n">
        <f aca="false">A50 + 4000</f>
        <v>188500</v>
      </c>
      <c r="B51" s="10" t="str">
        <f aca="false">INT(A51/60000) &amp; ":" &amp; INT(MOD(A51/1000, 60)) &amp; "." &amp; TEXT(INT(MOD(A51/1, 1000)), "000")</f>
        <v>3:8.500</v>
      </c>
      <c r="C51" s="7" t="s">
        <v>12</v>
      </c>
      <c r="D51" s="7" t="s">
        <v>13</v>
      </c>
      <c r="E51" s="8" t="str">
        <f aca="false">INDEX(movelist!B:B, MATCH($D51, movelist!A:A, 0))</f>
        <v>1000</v>
      </c>
      <c r="F51" s="11" t="s">
        <v>15</v>
      </c>
      <c r="G51" s="5" t="n">
        <v>75</v>
      </c>
      <c r="H51" s="5" t="n">
        <v>0</v>
      </c>
      <c r="I51" s="5" t="n">
        <v>0.15</v>
      </c>
      <c r="J51" s="8" t="s">
        <v>16</v>
      </c>
    </row>
    <row r="52" customFormat="false" ht="12.75" hidden="false" customHeight="true" outlineLevel="0" collapsed="false">
      <c r="A52" s="12" t="n">
        <f aca="false">A51+4000</f>
        <v>192500</v>
      </c>
      <c r="B52" s="10" t="str">
        <f aca="false">INT(A52/60000) &amp; ":" &amp; INT(MOD(A52/1000, 60)) &amp; "." &amp; TEXT(INT(MOD(A52/1, 1000)), "000")</f>
        <v>3:12.500</v>
      </c>
      <c r="C52" s="7" t="s">
        <v>12</v>
      </c>
      <c r="D52" s="7" t="s">
        <v>13</v>
      </c>
      <c r="E52" s="8" t="str">
        <f aca="false">INDEX(movelist!B:B, MATCH($D52, movelist!A:A, 0))</f>
        <v>1000</v>
      </c>
      <c r="F52" s="11" t="s">
        <v>11</v>
      </c>
      <c r="G52" s="5" t="n">
        <v>75</v>
      </c>
      <c r="H52" s="5" t="n">
        <v>0</v>
      </c>
      <c r="I52" s="5" t="n">
        <v>0</v>
      </c>
      <c r="J52" s="8" t="s">
        <v>14</v>
      </c>
    </row>
    <row r="53" customFormat="false" ht="12.75" hidden="false" customHeight="true" outlineLevel="0" collapsed="false">
      <c r="A53" s="1" t="n">
        <f aca="false">A52 + 4000</f>
        <v>196500</v>
      </c>
      <c r="B53" s="10" t="str">
        <f aca="false">INT(A53/60000) &amp; ":" &amp; INT(MOD(A53/1000, 60)) &amp; "." &amp; TEXT(INT(MOD(A53/1, 1000)), "000")</f>
        <v>3:16.500</v>
      </c>
      <c r="C53" s="7" t="s">
        <v>12</v>
      </c>
      <c r="D53" s="7" t="s">
        <v>13</v>
      </c>
      <c r="E53" s="8" t="str">
        <f aca="false">INDEX(movelist!B:B, MATCH($D53, movelist!A:A, 0))</f>
        <v>1000</v>
      </c>
      <c r="F53" s="11" t="s">
        <v>15</v>
      </c>
      <c r="G53" s="5" t="n">
        <v>75</v>
      </c>
      <c r="H53" s="5" t="n">
        <v>0</v>
      </c>
      <c r="I53" s="5" t="n">
        <v>0.15</v>
      </c>
      <c r="J53" s="8" t="s">
        <v>16</v>
      </c>
    </row>
    <row r="54" customFormat="false" ht="12.75" hidden="false" customHeight="true" outlineLevel="0" collapsed="false">
      <c r="A54" s="12" t="n">
        <f aca="false">A53+4000</f>
        <v>200500</v>
      </c>
      <c r="B54" s="10" t="str">
        <f aca="false">INT(A54/60000) &amp; ":" &amp; INT(MOD(A54/1000, 60)) &amp; "." &amp; TEXT(INT(MOD(A54/1, 1000)), "000")</f>
        <v>3:20.500</v>
      </c>
      <c r="C54" s="7" t="s">
        <v>12</v>
      </c>
      <c r="D54" s="7" t="s">
        <v>13</v>
      </c>
      <c r="E54" s="8" t="str">
        <f aca="false">INDEX(movelist!B:B, MATCH($D54, movelist!A:A, 0))</f>
        <v>1000</v>
      </c>
      <c r="F54" s="11" t="s">
        <v>11</v>
      </c>
      <c r="G54" s="5" t="n">
        <v>75</v>
      </c>
      <c r="H54" s="5" t="n">
        <v>0</v>
      </c>
      <c r="I54" s="5" t="n">
        <v>0</v>
      </c>
      <c r="J54" s="8" t="s">
        <v>14</v>
      </c>
    </row>
    <row r="55" customFormat="false" ht="12.75" hidden="false" customHeight="true" outlineLevel="0" collapsed="false">
      <c r="A55" s="1" t="n">
        <f aca="false">A54 + 4000</f>
        <v>204500</v>
      </c>
      <c r="B55" s="10" t="str">
        <f aca="false">INT(A55/60000) &amp; ":" &amp; INT(MOD(A55/1000, 60)) &amp; "." &amp; TEXT(INT(MOD(A55/1, 1000)), "000")</f>
        <v>3:24.500</v>
      </c>
      <c r="C55" s="7" t="s">
        <v>12</v>
      </c>
      <c r="D55" s="7" t="s">
        <v>13</v>
      </c>
      <c r="E55" s="8" t="str">
        <f aca="false">INDEX(movelist!B:B, MATCH($D55, movelist!A:A, 0))</f>
        <v>1000</v>
      </c>
      <c r="F55" s="11" t="s">
        <v>15</v>
      </c>
      <c r="G55" s="5" t="n">
        <v>75</v>
      </c>
      <c r="H55" s="5" t="n">
        <v>0</v>
      </c>
      <c r="I55" s="5" t="n">
        <v>0.15</v>
      </c>
      <c r="J55" s="8" t="s">
        <v>16</v>
      </c>
    </row>
    <row r="56" customFormat="false" ht="12.75" hidden="false" customHeight="true" outlineLevel="0" collapsed="false">
      <c r="A56" s="12" t="n">
        <f aca="false">A55+4000</f>
        <v>208500</v>
      </c>
      <c r="B56" s="10" t="str">
        <f aca="false">INT(A56/60000) &amp; ":" &amp; INT(MOD(A56/1000, 60)) &amp; "." &amp; TEXT(INT(MOD(A56/1, 1000)), "000")</f>
        <v>3:28.500</v>
      </c>
      <c r="C56" s="7" t="s">
        <v>12</v>
      </c>
      <c r="D56" s="7" t="s">
        <v>13</v>
      </c>
      <c r="E56" s="8" t="str">
        <f aca="false">INDEX(movelist!B:B, MATCH($D56, movelist!A:A, 0))</f>
        <v>1000</v>
      </c>
      <c r="F56" s="11" t="s">
        <v>11</v>
      </c>
      <c r="G56" s="5" t="n">
        <v>75</v>
      </c>
      <c r="H56" s="5" t="n">
        <v>0</v>
      </c>
      <c r="I56" s="5" t="n">
        <v>0</v>
      </c>
      <c r="J56" s="8" t="s">
        <v>14</v>
      </c>
    </row>
    <row r="57" customFormat="false" ht="12.75" hidden="false" customHeight="true" outlineLevel="0" collapsed="false">
      <c r="A57" s="1" t="n">
        <f aca="false">A56 + 4000</f>
        <v>212500</v>
      </c>
      <c r="B57" s="10" t="str">
        <f aca="false">INT(A57/60000) &amp; ":" &amp; INT(MOD(A57/1000, 60)) &amp; "." &amp; TEXT(INT(MOD(A57/1, 1000)), "000")</f>
        <v>3:32.500</v>
      </c>
      <c r="C57" s="7" t="s">
        <v>12</v>
      </c>
      <c r="D57" s="7" t="s">
        <v>13</v>
      </c>
      <c r="E57" s="8" t="str">
        <f aca="false">INDEX(movelist!B:B, MATCH($D57, movelist!A:A, 0))</f>
        <v>1000</v>
      </c>
      <c r="F57" s="11" t="s">
        <v>15</v>
      </c>
      <c r="G57" s="5" t="n">
        <v>75</v>
      </c>
      <c r="H57" s="5" t="n">
        <v>0</v>
      </c>
      <c r="I57" s="5" t="n">
        <v>0.15</v>
      </c>
      <c r="J57" s="8" t="s">
        <v>16</v>
      </c>
    </row>
    <row r="58" customFormat="false" ht="12.75" hidden="false" customHeight="true" outlineLevel="0" collapsed="false">
      <c r="A58" s="12" t="n">
        <f aca="false">A57+4000</f>
        <v>216500</v>
      </c>
      <c r="B58" s="10" t="str">
        <f aca="false">INT(A58/60000) &amp; ":" &amp; INT(MOD(A58/1000, 60)) &amp; "." &amp; TEXT(INT(MOD(A58/1, 1000)), "000")</f>
        <v>3:36.500</v>
      </c>
      <c r="C58" s="7" t="s">
        <v>12</v>
      </c>
      <c r="D58" s="7" t="s">
        <v>13</v>
      </c>
      <c r="E58" s="8" t="str">
        <f aca="false">INDEX(movelist!B:B, MATCH($D58, movelist!A:A, 0))</f>
        <v>1000</v>
      </c>
      <c r="F58" s="11" t="s">
        <v>11</v>
      </c>
      <c r="G58" s="5" t="n">
        <v>75</v>
      </c>
      <c r="H58" s="5" t="n">
        <v>0</v>
      </c>
      <c r="I58" s="5" t="n">
        <v>0</v>
      </c>
      <c r="J58" s="8" t="s">
        <v>14</v>
      </c>
    </row>
    <row r="59" customFormat="false" ht="12.75" hidden="false" customHeight="true" outlineLevel="0" collapsed="false">
      <c r="A59" s="1" t="n">
        <f aca="false">A58 + 4000</f>
        <v>220500</v>
      </c>
      <c r="B59" s="10" t="str">
        <f aca="false">INT(A59/60000) &amp; ":" &amp; INT(MOD(A59/1000, 60)) &amp; "." &amp; TEXT(INT(MOD(A59/1, 1000)), "000")</f>
        <v>3:40.500</v>
      </c>
      <c r="C59" s="7" t="s">
        <v>12</v>
      </c>
      <c r="D59" s="7" t="s">
        <v>13</v>
      </c>
      <c r="E59" s="8" t="str">
        <f aca="false">INDEX(movelist!B:B, MATCH($D59, movelist!A:A, 0))</f>
        <v>1000</v>
      </c>
      <c r="F59" s="11" t="s">
        <v>15</v>
      </c>
      <c r="G59" s="5" t="n">
        <v>75</v>
      </c>
      <c r="H59" s="5" t="n">
        <v>0</v>
      </c>
      <c r="I59" s="5" t="n">
        <v>0.15</v>
      </c>
      <c r="J59" s="8" t="s">
        <v>16</v>
      </c>
    </row>
    <row r="60" customFormat="false" ht="12.75" hidden="false" customHeight="true" outlineLevel="0" collapsed="false">
      <c r="A60" s="12" t="n">
        <f aca="false">A59+4000</f>
        <v>224500</v>
      </c>
      <c r="B60" s="10" t="str">
        <f aca="false">INT(A60/60000) &amp; ":" &amp; INT(MOD(A60/1000, 60)) &amp; "." &amp; TEXT(INT(MOD(A60/1, 1000)), "000")</f>
        <v>3:44.500</v>
      </c>
      <c r="C60" s="7" t="s">
        <v>12</v>
      </c>
      <c r="D60" s="7" t="s">
        <v>13</v>
      </c>
      <c r="E60" s="8" t="str">
        <f aca="false">INDEX(movelist!B:B, MATCH($D60, movelist!A:A, 0))</f>
        <v>1000</v>
      </c>
      <c r="F60" s="11" t="s">
        <v>11</v>
      </c>
      <c r="G60" s="5" t="n">
        <v>75</v>
      </c>
      <c r="H60" s="5" t="n">
        <v>0</v>
      </c>
      <c r="I60" s="5" t="n">
        <v>0</v>
      </c>
      <c r="J60" s="8" t="s">
        <v>14</v>
      </c>
    </row>
    <row r="61" customFormat="false" ht="12.75" hidden="false" customHeight="true" outlineLevel="0" collapsed="false">
      <c r="A61" s="1" t="n">
        <f aca="false">A60 + 4000</f>
        <v>228500</v>
      </c>
      <c r="B61" s="10" t="str">
        <f aca="false">INT(A61/60000) &amp; ":" &amp; INT(MOD(A61/1000, 60)) &amp; "." &amp; TEXT(INT(MOD(A61/1, 1000)), "000")</f>
        <v>3:48.500</v>
      </c>
      <c r="C61" s="7" t="s">
        <v>12</v>
      </c>
      <c r="D61" s="7" t="s">
        <v>13</v>
      </c>
      <c r="E61" s="8" t="str">
        <f aca="false">INDEX(movelist!B:B, MATCH($D61, movelist!A:A, 0))</f>
        <v>1000</v>
      </c>
      <c r="F61" s="11" t="s">
        <v>15</v>
      </c>
      <c r="G61" s="5" t="n">
        <v>75</v>
      </c>
      <c r="H61" s="5" t="n">
        <v>0</v>
      </c>
      <c r="I61" s="5" t="n">
        <v>0.15</v>
      </c>
      <c r="J61" s="8" t="s">
        <v>16</v>
      </c>
    </row>
    <row r="62" customFormat="false" ht="12.75" hidden="false" customHeight="true" outlineLevel="0" collapsed="false">
      <c r="A62" s="12" t="n">
        <f aca="false">A61+4000</f>
        <v>232500</v>
      </c>
      <c r="B62" s="10" t="str">
        <f aca="false">INT(A62/60000) &amp; ":" &amp; INT(MOD(A62/1000, 60)) &amp; "." &amp; TEXT(INT(MOD(A62/1, 1000)), "000")</f>
        <v>3:52.500</v>
      </c>
      <c r="C62" s="7" t="s">
        <v>12</v>
      </c>
      <c r="D62" s="7" t="s">
        <v>13</v>
      </c>
      <c r="E62" s="8" t="str">
        <f aca="false">INDEX(movelist!B:B, MATCH($D62, movelist!A:A, 0))</f>
        <v>1000</v>
      </c>
      <c r="F62" s="11" t="s">
        <v>11</v>
      </c>
      <c r="G62" s="5" t="n">
        <v>75</v>
      </c>
      <c r="H62" s="5" t="n">
        <v>0</v>
      </c>
      <c r="I62" s="5" t="n">
        <v>0</v>
      </c>
      <c r="J62" s="8" t="s">
        <v>14</v>
      </c>
    </row>
    <row r="63" customFormat="false" ht="12.75" hidden="false" customHeight="true" outlineLevel="0" collapsed="false">
      <c r="A63" s="1" t="n">
        <f aca="false">A62 + 4000</f>
        <v>236500</v>
      </c>
      <c r="B63" s="10" t="str">
        <f aca="false">INT(A63/60000) &amp; ":" &amp; INT(MOD(A63/1000, 60)) &amp; "." &amp; TEXT(INT(MOD(A63/1, 1000)), "000")</f>
        <v>3:56.500</v>
      </c>
      <c r="C63" s="7" t="s">
        <v>12</v>
      </c>
      <c r="D63" s="7" t="s">
        <v>13</v>
      </c>
      <c r="E63" s="8" t="str">
        <f aca="false">INDEX(movelist!B:B, MATCH($D63, movelist!A:A, 0))</f>
        <v>1000</v>
      </c>
      <c r="F63" s="11" t="s">
        <v>15</v>
      </c>
      <c r="G63" s="5" t="n">
        <v>75</v>
      </c>
      <c r="H63" s="5" t="n">
        <v>0</v>
      </c>
      <c r="I63" s="5" t="n">
        <v>0.15</v>
      </c>
      <c r="J63" s="8" t="s">
        <v>16</v>
      </c>
    </row>
    <row r="64" customFormat="false" ht="12.75" hidden="false" customHeight="true" outlineLevel="0" collapsed="false">
      <c r="A64" s="12" t="n">
        <f aca="false">A63+4000</f>
        <v>240500</v>
      </c>
      <c r="B64" s="10" t="str">
        <f aca="false">INT(A64/60000) &amp; ":" &amp; INT(MOD(A64/1000, 60)) &amp; "." &amp; TEXT(INT(MOD(A64/1, 1000)), "000")</f>
        <v>4:0.500</v>
      </c>
      <c r="C64" s="7" t="s">
        <v>12</v>
      </c>
      <c r="D64" s="7" t="s">
        <v>13</v>
      </c>
      <c r="E64" s="8" t="str">
        <f aca="false">INDEX(movelist!B:B, MATCH($D64, movelist!A:A, 0))</f>
        <v>1000</v>
      </c>
      <c r="F64" s="11" t="s">
        <v>11</v>
      </c>
      <c r="G64" s="5" t="n">
        <v>75</v>
      </c>
      <c r="H64" s="5" t="n">
        <v>0</v>
      </c>
      <c r="I64" s="5" t="n">
        <v>0</v>
      </c>
      <c r="J64" s="8" t="s">
        <v>14</v>
      </c>
    </row>
    <row r="65" customFormat="false" ht="12.75" hidden="false" customHeight="true" outlineLevel="0" collapsed="false">
      <c r="A65" s="1" t="n">
        <f aca="false">A64 + 4000</f>
        <v>244500</v>
      </c>
      <c r="B65" s="10" t="str">
        <f aca="false">INT(A65/60000) &amp; ":" &amp; INT(MOD(A65/1000, 60)) &amp; "." &amp; TEXT(INT(MOD(A65/1, 1000)), "000")</f>
        <v>4:4.500</v>
      </c>
      <c r="C65" s="7" t="s">
        <v>12</v>
      </c>
      <c r="D65" s="7" t="s">
        <v>13</v>
      </c>
      <c r="E65" s="8" t="str">
        <f aca="false">INDEX(movelist!B:B, MATCH($D65, movelist!A:A, 0))</f>
        <v>1000</v>
      </c>
      <c r="F65" s="11" t="s">
        <v>15</v>
      </c>
      <c r="G65" s="5" t="n">
        <v>75</v>
      </c>
      <c r="H65" s="5" t="n">
        <v>0</v>
      </c>
      <c r="I65" s="5" t="n">
        <v>0.15</v>
      </c>
      <c r="J65" s="8" t="s">
        <v>16</v>
      </c>
    </row>
    <row r="66" customFormat="false" ht="12.75" hidden="false" customHeight="true" outlineLevel="0" collapsed="false">
      <c r="A66" s="12" t="n">
        <f aca="false">A65+4000</f>
        <v>248500</v>
      </c>
      <c r="B66" s="10" t="str">
        <f aca="false">INT(A66/60000) &amp; ":" &amp; INT(MOD(A66/1000, 60)) &amp; "." &amp; TEXT(INT(MOD(A66/1, 1000)), "000")</f>
        <v>4:8.500</v>
      </c>
      <c r="C66" s="7" t="s">
        <v>12</v>
      </c>
      <c r="D66" s="7" t="s">
        <v>13</v>
      </c>
      <c r="E66" s="8" t="str">
        <f aca="false">INDEX(movelist!B:B, MATCH($D66, movelist!A:A, 0))</f>
        <v>1000</v>
      </c>
      <c r="F66" s="11" t="s">
        <v>11</v>
      </c>
      <c r="G66" s="5" t="n">
        <v>75</v>
      </c>
      <c r="H66" s="5" t="n">
        <v>0</v>
      </c>
      <c r="I66" s="5" t="n">
        <v>0</v>
      </c>
      <c r="J66" s="8" t="s">
        <v>14</v>
      </c>
    </row>
    <row r="67" customFormat="false" ht="12.75" hidden="false" customHeight="true" outlineLevel="0" collapsed="false">
      <c r="A67" s="1" t="n">
        <f aca="false">A66 + 4000</f>
        <v>252500</v>
      </c>
      <c r="B67" s="10" t="str">
        <f aca="false">INT(A67/60000) &amp; ":" &amp; INT(MOD(A67/1000, 60)) &amp; "." &amp; TEXT(INT(MOD(A67/1, 1000)), "000")</f>
        <v>4:12.500</v>
      </c>
      <c r="C67" s="7" t="s">
        <v>12</v>
      </c>
      <c r="D67" s="7" t="s">
        <v>13</v>
      </c>
      <c r="E67" s="8" t="str">
        <f aca="false">INDEX(movelist!B:B, MATCH($D67, movelist!A:A, 0))</f>
        <v>1000</v>
      </c>
      <c r="F67" s="11" t="s">
        <v>15</v>
      </c>
      <c r="G67" s="5" t="n">
        <v>75</v>
      </c>
      <c r="H67" s="5" t="n">
        <v>0</v>
      </c>
      <c r="I67" s="5" t="n">
        <v>0.15</v>
      </c>
      <c r="J67" s="8" t="s">
        <v>16</v>
      </c>
    </row>
    <row r="68" customFormat="false" ht="12.75" hidden="false" customHeight="true" outlineLevel="0" collapsed="false">
      <c r="A68" s="12" t="n">
        <f aca="false">A67+4000</f>
        <v>256500</v>
      </c>
      <c r="B68" s="10" t="str">
        <f aca="false">INT(A68/60000) &amp; ":" &amp; INT(MOD(A68/1000, 60)) &amp; "." &amp; TEXT(INT(MOD(A68/1, 1000)), "000")</f>
        <v>4:16.500</v>
      </c>
      <c r="C68" s="7" t="s">
        <v>12</v>
      </c>
      <c r="D68" s="7" t="s">
        <v>13</v>
      </c>
      <c r="E68" s="8" t="str">
        <f aca="false">INDEX(movelist!B:B, MATCH($D68, movelist!A:A, 0))</f>
        <v>1000</v>
      </c>
      <c r="F68" s="11" t="s">
        <v>11</v>
      </c>
      <c r="G68" s="5" t="n">
        <v>75</v>
      </c>
      <c r="H68" s="5" t="n">
        <v>0</v>
      </c>
      <c r="I68" s="5" t="n">
        <v>0</v>
      </c>
      <c r="J68" s="8" t="s">
        <v>14</v>
      </c>
    </row>
    <row r="69" customFormat="false" ht="12.75" hidden="false" customHeight="true" outlineLevel="0" collapsed="false">
      <c r="A69" s="1" t="n">
        <f aca="false">A68 + 4000</f>
        <v>260500</v>
      </c>
      <c r="B69" s="10" t="str">
        <f aca="false">INT(A69/60000) &amp; ":" &amp; INT(MOD(A69/1000, 60)) &amp; "." &amp; TEXT(INT(MOD(A69/1, 1000)), "000")</f>
        <v>4:20.500</v>
      </c>
      <c r="C69" s="7" t="s">
        <v>12</v>
      </c>
      <c r="D69" s="7" t="s">
        <v>13</v>
      </c>
      <c r="E69" s="8" t="str">
        <f aca="false">INDEX(movelist!B:B, MATCH($D69, movelist!A:A, 0))</f>
        <v>1000</v>
      </c>
      <c r="F69" s="11" t="s">
        <v>15</v>
      </c>
      <c r="G69" s="5" t="n">
        <v>75</v>
      </c>
      <c r="H69" s="5" t="n">
        <v>0</v>
      </c>
      <c r="I69" s="5" t="n">
        <v>0.15</v>
      </c>
      <c r="J69" s="8" t="s">
        <v>16</v>
      </c>
    </row>
    <row r="70" customFormat="false" ht="12.75" hidden="false" customHeight="true" outlineLevel="0" collapsed="false">
      <c r="A70" s="12" t="n">
        <f aca="false">A69+4000</f>
        <v>264500</v>
      </c>
      <c r="B70" s="10" t="str">
        <f aca="false">INT(A70/60000) &amp; ":" &amp; INT(MOD(A70/1000, 60)) &amp; "." &amp; TEXT(INT(MOD(A70/1, 1000)), "000")</f>
        <v>4:24.500</v>
      </c>
      <c r="C70" s="7" t="s">
        <v>12</v>
      </c>
      <c r="D70" s="7" t="s">
        <v>13</v>
      </c>
      <c r="E70" s="8" t="str">
        <f aca="false">INDEX(movelist!B:B, MATCH($D70, movelist!A:A, 0))</f>
        <v>1000</v>
      </c>
      <c r="F70" s="11" t="s">
        <v>11</v>
      </c>
      <c r="G70" s="5" t="n">
        <v>75</v>
      </c>
      <c r="H70" s="5" t="n">
        <v>0</v>
      </c>
      <c r="I70" s="5" t="n">
        <v>0</v>
      </c>
      <c r="J70" s="8" t="s">
        <v>14</v>
      </c>
    </row>
    <row r="71" customFormat="false" ht="12.75" hidden="false" customHeight="true" outlineLevel="0" collapsed="false">
      <c r="A71" s="1" t="n">
        <f aca="false">A70 + 4000</f>
        <v>268500</v>
      </c>
      <c r="B71" s="10" t="str">
        <f aca="false">INT(A71/60000) &amp; ":" &amp; INT(MOD(A71/1000, 60)) &amp; "." &amp; TEXT(INT(MOD(A71/1, 1000)), "000")</f>
        <v>4:28.500</v>
      </c>
      <c r="C71" s="7" t="s">
        <v>12</v>
      </c>
      <c r="D71" s="7" t="s">
        <v>13</v>
      </c>
      <c r="E71" s="8" t="str">
        <f aca="false">INDEX(movelist!B:B, MATCH($D71, movelist!A:A, 0))</f>
        <v>1000</v>
      </c>
      <c r="F71" s="11" t="s">
        <v>15</v>
      </c>
      <c r="G71" s="5" t="n">
        <v>75</v>
      </c>
      <c r="H71" s="5" t="n">
        <v>0</v>
      </c>
      <c r="I71" s="5" t="n">
        <v>0.15</v>
      </c>
      <c r="J71" s="8" t="s">
        <v>16</v>
      </c>
    </row>
    <row r="72" customFormat="false" ht="12.75" hidden="false" customHeight="true" outlineLevel="0" collapsed="false">
      <c r="A72" s="12" t="n">
        <f aca="false">A71+4000</f>
        <v>272500</v>
      </c>
      <c r="B72" s="10" t="str">
        <f aca="false">INT(A72/60000) &amp; ":" &amp; INT(MOD(A72/1000, 60)) &amp; "." &amp; TEXT(INT(MOD(A72/1, 1000)), "000")</f>
        <v>4:32.500</v>
      </c>
      <c r="C72" s="7" t="s">
        <v>12</v>
      </c>
      <c r="D72" s="7" t="s">
        <v>13</v>
      </c>
      <c r="E72" s="8" t="str">
        <f aca="false">INDEX(movelist!B:B, MATCH($D72, movelist!A:A, 0))</f>
        <v>1000</v>
      </c>
      <c r="F72" s="11" t="s">
        <v>11</v>
      </c>
      <c r="G72" s="5" t="n">
        <v>75</v>
      </c>
      <c r="H72" s="5" t="n">
        <v>0</v>
      </c>
      <c r="I72" s="5" t="n">
        <v>0</v>
      </c>
      <c r="J72" s="8" t="s">
        <v>14</v>
      </c>
    </row>
    <row r="73" customFormat="false" ht="12.75" hidden="false" customHeight="true" outlineLevel="0" collapsed="false">
      <c r="A73" s="1" t="n">
        <f aca="false">A72 + 4000</f>
        <v>276500</v>
      </c>
      <c r="B73" s="10" t="str">
        <f aca="false">INT(A73/60000) &amp; ":" &amp; INT(MOD(A73/1000, 60)) &amp; "." &amp; TEXT(INT(MOD(A73/1, 1000)), "000")</f>
        <v>4:36.500</v>
      </c>
      <c r="C73" s="7" t="s">
        <v>12</v>
      </c>
      <c r="D73" s="7" t="s">
        <v>13</v>
      </c>
      <c r="E73" s="8" t="str">
        <f aca="false">INDEX(movelist!B:B, MATCH($D73, movelist!A:A, 0))</f>
        <v>1000</v>
      </c>
      <c r="F73" s="11" t="s">
        <v>15</v>
      </c>
      <c r="G73" s="5" t="n">
        <v>75</v>
      </c>
      <c r="H73" s="5" t="n">
        <v>0</v>
      </c>
      <c r="I73" s="5" t="n">
        <v>0.15</v>
      </c>
      <c r="J73" s="8" t="s">
        <v>16</v>
      </c>
    </row>
    <row r="74" customFormat="false" ht="12.75" hidden="false" customHeight="true" outlineLevel="0" collapsed="false">
      <c r="A74" s="12" t="n">
        <f aca="false">A73+4000</f>
        <v>280500</v>
      </c>
      <c r="B74" s="10" t="str">
        <f aca="false">INT(A74/60000) &amp; ":" &amp; INT(MOD(A74/1000, 60)) &amp; "." &amp; TEXT(INT(MOD(A74/1, 1000)), "000")</f>
        <v>4:40.500</v>
      </c>
      <c r="C74" s="7" t="s">
        <v>12</v>
      </c>
      <c r="D74" s="7" t="s">
        <v>13</v>
      </c>
      <c r="E74" s="8" t="str">
        <f aca="false">INDEX(movelist!B:B, MATCH($D74, movelist!A:A, 0))</f>
        <v>1000</v>
      </c>
      <c r="F74" s="11" t="s">
        <v>11</v>
      </c>
      <c r="G74" s="5" t="n">
        <v>75</v>
      </c>
      <c r="H74" s="5" t="n">
        <v>0</v>
      </c>
      <c r="I74" s="5" t="n">
        <v>0</v>
      </c>
      <c r="J74" s="8" t="s">
        <v>14</v>
      </c>
    </row>
    <row r="75" customFormat="false" ht="12.75" hidden="false" customHeight="true" outlineLevel="0" collapsed="false">
      <c r="A75" s="1" t="n">
        <f aca="false">A74 + 4000</f>
        <v>284500</v>
      </c>
      <c r="B75" s="10" t="str">
        <f aca="false">INT(A75/60000) &amp; ":" &amp; INT(MOD(A75/1000, 60)) &amp; "." &amp; TEXT(INT(MOD(A75/1, 1000)), "000")</f>
        <v>4:44.500</v>
      </c>
      <c r="C75" s="7" t="s">
        <v>12</v>
      </c>
      <c r="D75" s="7" t="s">
        <v>13</v>
      </c>
      <c r="E75" s="8" t="str">
        <f aca="false">INDEX(movelist!B:B, MATCH($D75, movelist!A:A, 0))</f>
        <v>1000</v>
      </c>
      <c r="F75" s="11" t="s">
        <v>15</v>
      </c>
      <c r="G75" s="5" t="n">
        <v>75</v>
      </c>
      <c r="H75" s="5" t="n">
        <v>0</v>
      </c>
      <c r="I75" s="5" t="n">
        <v>0.15</v>
      </c>
      <c r="J75" s="8" t="s">
        <v>16</v>
      </c>
    </row>
    <row r="76" customFormat="false" ht="12.75" hidden="false" customHeight="true" outlineLevel="0" collapsed="false">
      <c r="A76" s="12" t="n">
        <f aca="false">A75+4000</f>
        <v>288500</v>
      </c>
      <c r="B76" s="10" t="str">
        <f aca="false">INT(A76/60000) &amp; ":" &amp; INT(MOD(A76/1000, 60)) &amp; "." &amp; TEXT(INT(MOD(A76/1, 1000)), "000")</f>
        <v>4:48.500</v>
      </c>
      <c r="C76" s="7" t="s">
        <v>12</v>
      </c>
      <c r="D76" s="7" t="s">
        <v>13</v>
      </c>
      <c r="E76" s="8" t="str">
        <f aca="false">INDEX(movelist!B:B, MATCH($D76, movelist!A:A, 0))</f>
        <v>1000</v>
      </c>
      <c r="F76" s="11" t="s">
        <v>11</v>
      </c>
      <c r="G76" s="5" t="n">
        <v>75</v>
      </c>
      <c r="H76" s="5" t="n">
        <v>0</v>
      </c>
      <c r="I76" s="5" t="n">
        <v>0</v>
      </c>
      <c r="J76" s="8" t="s">
        <v>14</v>
      </c>
    </row>
    <row r="77" customFormat="false" ht="12.75" hidden="false" customHeight="true" outlineLevel="0" collapsed="false">
      <c r="A77" s="1" t="n">
        <f aca="false">A76 + 4000</f>
        <v>292500</v>
      </c>
      <c r="B77" s="10" t="str">
        <f aca="false">INT(A77/60000) &amp; ":" &amp; INT(MOD(A77/1000, 60)) &amp; "." &amp; TEXT(INT(MOD(A77/1, 1000)), "000")</f>
        <v>4:52.500</v>
      </c>
      <c r="C77" s="7" t="s">
        <v>12</v>
      </c>
      <c r="D77" s="7" t="s">
        <v>13</v>
      </c>
      <c r="E77" s="8" t="str">
        <f aca="false">INDEX(movelist!B:B, MATCH($D77, movelist!A:A, 0))</f>
        <v>1000</v>
      </c>
      <c r="F77" s="11" t="s">
        <v>15</v>
      </c>
      <c r="G77" s="5" t="n">
        <v>75</v>
      </c>
      <c r="H77" s="5" t="n">
        <v>0</v>
      </c>
      <c r="I77" s="5" t="n">
        <v>0.15</v>
      </c>
      <c r="J77" s="8" t="s">
        <v>16</v>
      </c>
    </row>
    <row r="78" customFormat="false" ht="12.75" hidden="false" customHeight="true" outlineLevel="0" collapsed="false">
      <c r="A78" s="12" t="n">
        <f aca="false">A77+4000</f>
        <v>296500</v>
      </c>
      <c r="B78" s="10" t="str">
        <f aca="false">INT(A78/60000) &amp; ":" &amp; INT(MOD(A78/1000, 60)) &amp; "." &amp; TEXT(INT(MOD(A78/1, 1000)), "000")</f>
        <v>4:56.500</v>
      </c>
      <c r="C78" s="7" t="s">
        <v>12</v>
      </c>
      <c r="D78" s="7" t="s">
        <v>13</v>
      </c>
      <c r="E78" s="8" t="str">
        <f aca="false">INDEX(movelist!B:B, MATCH($D78, movelist!A:A, 0))</f>
        <v>1000</v>
      </c>
      <c r="F78" s="11" t="s">
        <v>11</v>
      </c>
      <c r="G78" s="5" t="n">
        <v>75</v>
      </c>
      <c r="H78" s="5" t="n">
        <v>0</v>
      </c>
      <c r="I78" s="5" t="n">
        <v>0</v>
      </c>
      <c r="J78" s="8" t="s">
        <v>14</v>
      </c>
    </row>
    <row r="79" customFormat="false" ht="12.75" hidden="false" customHeight="true" outlineLevel="0" collapsed="false">
      <c r="A79" s="1" t="n">
        <f aca="false">A78 + 4000</f>
        <v>300500</v>
      </c>
      <c r="B79" s="10" t="str">
        <f aca="false">INT(A79/60000) &amp; ":" &amp; INT(MOD(A79/1000, 60)) &amp; "." &amp; TEXT(INT(MOD(A79/1, 1000)), "000")</f>
        <v>5:0.500</v>
      </c>
      <c r="C79" s="7" t="s">
        <v>12</v>
      </c>
      <c r="D79" s="7" t="s">
        <v>13</v>
      </c>
      <c r="E79" s="8" t="str">
        <f aca="false">INDEX(movelist!B:B, MATCH($D79, movelist!A:A, 0))</f>
        <v>1000</v>
      </c>
      <c r="F79" s="11" t="s">
        <v>15</v>
      </c>
      <c r="G79" s="5" t="n">
        <v>75</v>
      </c>
      <c r="H79" s="5" t="n">
        <v>0</v>
      </c>
      <c r="I79" s="5" t="n">
        <v>0.15</v>
      </c>
      <c r="J79" s="8" t="s">
        <v>16</v>
      </c>
    </row>
    <row r="80" customFormat="false" ht="12.75" hidden="false" customHeight="true" outlineLevel="0" collapsed="false">
      <c r="A80" s="12" t="n">
        <f aca="false">A79+4000</f>
        <v>304500</v>
      </c>
      <c r="B80" s="10" t="str">
        <f aca="false">INT(A80/60000) &amp; ":" &amp; INT(MOD(A80/1000, 60)) &amp; "." &amp; TEXT(INT(MOD(A80/1, 1000)), "000")</f>
        <v>5:4.500</v>
      </c>
      <c r="C80" s="7" t="s">
        <v>12</v>
      </c>
      <c r="D80" s="7" t="s">
        <v>13</v>
      </c>
      <c r="E80" s="8" t="str">
        <f aca="false">INDEX(movelist!B:B, MATCH($D80, movelist!A:A, 0))</f>
        <v>1000</v>
      </c>
      <c r="F80" s="11" t="s">
        <v>11</v>
      </c>
      <c r="G80" s="5" t="n">
        <v>75</v>
      </c>
      <c r="H80" s="5" t="n">
        <v>0</v>
      </c>
      <c r="I80" s="5" t="n">
        <v>0</v>
      </c>
      <c r="J80" s="8" t="s">
        <v>14</v>
      </c>
    </row>
    <row r="81" customFormat="false" ht="12.75" hidden="false" customHeight="true" outlineLevel="0" collapsed="false">
      <c r="A81" s="1" t="n">
        <f aca="false">A80 + 4000</f>
        <v>308500</v>
      </c>
      <c r="B81" s="10" t="str">
        <f aca="false">INT(A81/60000) &amp; ":" &amp; INT(MOD(A81/1000, 60)) &amp; "." &amp; TEXT(INT(MOD(A81/1, 1000)), "000")</f>
        <v>5:8.500</v>
      </c>
      <c r="C81" s="7" t="s">
        <v>12</v>
      </c>
      <c r="D81" s="7" t="s">
        <v>13</v>
      </c>
      <c r="E81" s="8" t="str">
        <f aca="false">INDEX(movelist!B:B, MATCH($D81, movelist!A:A, 0))</f>
        <v>1000</v>
      </c>
      <c r="F81" s="11" t="s">
        <v>15</v>
      </c>
      <c r="G81" s="5" t="n">
        <v>75</v>
      </c>
      <c r="H81" s="5" t="n">
        <v>0</v>
      </c>
      <c r="I81" s="5" t="n">
        <v>0.15</v>
      </c>
      <c r="J81" s="8" t="s">
        <v>16</v>
      </c>
    </row>
    <row r="82" customFormat="false" ht="12.75" hidden="false" customHeight="true" outlineLevel="0" collapsed="false">
      <c r="A82" s="12" t="n">
        <f aca="false">A81+4000</f>
        <v>312500</v>
      </c>
      <c r="B82" s="10" t="str">
        <f aca="false">INT(A82/60000) &amp; ":" &amp; INT(MOD(A82/1000, 60)) &amp; "." &amp; TEXT(INT(MOD(A82/1, 1000)), "000")</f>
        <v>5:12.500</v>
      </c>
      <c r="C82" s="7" t="s">
        <v>12</v>
      </c>
      <c r="D82" s="7" t="s">
        <v>13</v>
      </c>
      <c r="E82" s="8" t="str">
        <f aca="false">INDEX(movelist!B:B, MATCH($D82, movelist!A:A, 0))</f>
        <v>1000</v>
      </c>
      <c r="F82" s="11" t="s">
        <v>11</v>
      </c>
      <c r="G82" s="5" t="n">
        <v>75</v>
      </c>
      <c r="H82" s="5" t="n">
        <v>0</v>
      </c>
      <c r="I82" s="5" t="n">
        <v>0</v>
      </c>
      <c r="J82" s="8" t="s">
        <v>14</v>
      </c>
    </row>
    <row r="83" customFormat="false" ht="12.75" hidden="false" customHeight="true" outlineLevel="0" collapsed="false">
      <c r="A83" s="1" t="n">
        <f aca="false">A82 + 4000</f>
        <v>316500</v>
      </c>
      <c r="B83" s="10" t="str">
        <f aca="false">INT(A83/60000) &amp; ":" &amp; INT(MOD(A83/1000, 60)) &amp; "." &amp; TEXT(INT(MOD(A83/1, 1000)), "000")</f>
        <v>5:16.500</v>
      </c>
      <c r="C83" s="7" t="s">
        <v>12</v>
      </c>
      <c r="D83" s="7" t="s">
        <v>13</v>
      </c>
      <c r="E83" s="8" t="str">
        <f aca="false">INDEX(movelist!B:B, MATCH($D83, movelist!A:A, 0))</f>
        <v>1000</v>
      </c>
      <c r="F83" s="11" t="s">
        <v>15</v>
      </c>
      <c r="G83" s="5" t="n">
        <v>75</v>
      </c>
      <c r="H83" s="5" t="n">
        <v>0</v>
      </c>
      <c r="I83" s="5" t="n">
        <v>0.15</v>
      </c>
      <c r="J83" s="8" t="s">
        <v>16</v>
      </c>
    </row>
    <row r="84" customFormat="false" ht="12.75" hidden="false" customHeight="true" outlineLevel="0" collapsed="false">
      <c r="A84" s="12" t="n">
        <f aca="false">A83+4000</f>
        <v>320500</v>
      </c>
      <c r="B84" s="10" t="str">
        <f aca="false">INT(A84/60000) &amp; ":" &amp; INT(MOD(A84/1000, 60)) &amp; "." &amp; TEXT(INT(MOD(A84/1, 1000)), "000")</f>
        <v>5:20.500</v>
      </c>
      <c r="C84" s="7" t="s">
        <v>12</v>
      </c>
      <c r="D84" s="7" t="s">
        <v>13</v>
      </c>
      <c r="E84" s="8" t="str">
        <f aca="false">INDEX(movelist!B:B, MATCH($D84, movelist!A:A, 0))</f>
        <v>1000</v>
      </c>
      <c r="F84" s="11" t="s">
        <v>11</v>
      </c>
      <c r="G84" s="5" t="n">
        <v>75</v>
      </c>
      <c r="H84" s="5" t="n">
        <v>0</v>
      </c>
      <c r="I84" s="5" t="n">
        <v>0</v>
      </c>
      <c r="J84" s="8" t="s">
        <v>14</v>
      </c>
    </row>
    <row r="85" customFormat="false" ht="12.75" hidden="false" customHeight="true" outlineLevel="0" collapsed="false">
      <c r="A85" s="1" t="n">
        <f aca="false">A84 + 4000</f>
        <v>324500</v>
      </c>
      <c r="B85" s="10" t="str">
        <f aca="false">INT(A85/60000) &amp; ":" &amp; INT(MOD(A85/1000, 60)) &amp; "." &amp; TEXT(INT(MOD(A85/1, 1000)), "000")</f>
        <v>5:24.500</v>
      </c>
      <c r="C85" s="7" t="s">
        <v>12</v>
      </c>
      <c r="D85" s="7" t="s">
        <v>13</v>
      </c>
      <c r="E85" s="8" t="str">
        <f aca="false">INDEX(movelist!B:B, MATCH($D85, movelist!A:A, 0))</f>
        <v>1000</v>
      </c>
      <c r="F85" s="11" t="s">
        <v>15</v>
      </c>
      <c r="G85" s="5" t="n">
        <v>75</v>
      </c>
      <c r="H85" s="5" t="n">
        <v>0</v>
      </c>
      <c r="I85" s="5" t="n">
        <v>0.15</v>
      </c>
      <c r="J85" s="8" t="s">
        <v>16</v>
      </c>
    </row>
    <row r="86" customFormat="false" ht="12.75" hidden="false" customHeight="true" outlineLevel="0" collapsed="false">
      <c r="A86" s="12" t="n">
        <f aca="false">A85+4000</f>
        <v>328500</v>
      </c>
      <c r="B86" s="10" t="str">
        <f aca="false">INT(A86/60000) &amp; ":" &amp; INT(MOD(A86/1000, 60)) &amp; "." &amp; TEXT(INT(MOD(A86/1, 1000)), "000")</f>
        <v>5:28.500</v>
      </c>
      <c r="C86" s="7" t="s">
        <v>12</v>
      </c>
      <c r="D86" s="7" t="s">
        <v>13</v>
      </c>
      <c r="E86" s="8" t="str">
        <f aca="false">INDEX(movelist!B:B, MATCH($D86, movelist!A:A, 0))</f>
        <v>1000</v>
      </c>
      <c r="F86" s="11" t="s">
        <v>11</v>
      </c>
      <c r="G86" s="5" t="n">
        <v>75</v>
      </c>
      <c r="H86" s="5" t="n">
        <v>0</v>
      </c>
      <c r="I86" s="5" t="n">
        <v>0</v>
      </c>
      <c r="J86" s="8" t="s">
        <v>14</v>
      </c>
    </row>
    <row r="87" customFormat="false" ht="12.75" hidden="false" customHeight="true" outlineLevel="0" collapsed="false">
      <c r="A87" s="1" t="n">
        <f aca="false">A86 + 4000</f>
        <v>332500</v>
      </c>
      <c r="B87" s="10" t="str">
        <f aca="false">INT(A87/60000) &amp; ":" &amp; INT(MOD(A87/1000, 60)) &amp; "." &amp; TEXT(INT(MOD(A87/1, 1000)), "000")</f>
        <v>5:32.500</v>
      </c>
      <c r="C87" s="7" t="s">
        <v>12</v>
      </c>
      <c r="D87" s="7" t="s">
        <v>13</v>
      </c>
      <c r="E87" s="8" t="str">
        <f aca="false">INDEX(movelist!B:B, MATCH($D87, movelist!A:A, 0))</f>
        <v>1000</v>
      </c>
      <c r="F87" s="11" t="s">
        <v>15</v>
      </c>
      <c r="G87" s="5" t="n">
        <v>75</v>
      </c>
      <c r="H87" s="5" t="n">
        <v>0</v>
      </c>
      <c r="I87" s="5" t="n">
        <v>0.15</v>
      </c>
      <c r="J87" s="8" t="s">
        <v>16</v>
      </c>
    </row>
    <row r="88" customFormat="false" ht="12.75" hidden="false" customHeight="true" outlineLevel="0" collapsed="false">
      <c r="A88" s="12" t="n">
        <f aca="false">A87+4000</f>
        <v>336500</v>
      </c>
      <c r="B88" s="10" t="str">
        <f aca="false">INT(A88/60000) &amp; ":" &amp; INT(MOD(A88/1000, 60)) &amp; "." &amp; TEXT(INT(MOD(A88/1, 1000)), "000")</f>
        <v>5:36.500</v>
      </c>
      <c r="C88" s="7" t="s">
        <v>12</v>
      </c>
      <c r="D88" s="7" t="s">
        <v>13</v>
      </c>
      <c r="E88" s="8" t="str">
        <f aca="false">INDEX(movelist!B:B, MATCH($D88, movelist!A:A, 0))</f>
        <v>1000</v>
      </c>
      <c r="F88" s="11" t="s">
        <v>11</v>
      </c>
      <c r="G88" s="5" t="n">
        <v>75</v>
      </c>
      <c r="H88" s="5" t="n">
        <v>0</v>
      </c>
      <c r="I88" s="5" t="n">
        <v>0</v>
      </c>
      <c r="J88" s="8" t="s">
        <v>14</v>
      </c>
    </row>
    <row r="89" customFormat="false" ht="12.75" hidden="false" customHeight="true" outlineLevel="0" collapsed="false">
      <c r="A89" s="1" t="n">
        <f aca="false">A88 + 4000</f>
        <v>340500</v>
      </c>
      <c r="B89" s="10" t="str">
        <f aca="false">INT(A89/60000) &amp; ":" &amp; INT(MOD(A89/1000, 60)) &amp; "." &amp; TEXT(INT(MOD(A89/1, 1000)), "000")</f>
        <v>5:40.500</v>
      </c>
      <c r="C89" s="7" t="s">
        <v>12</v>
      </c>
      <c r="D89" s="7" t="s">
        <v>13</v>
      </c>
      <c r="E89" s="8" t="str">
        <f aca="false">INDEX(movelist!B:B, MATCH($D89, movelist!A:A, 0))</f>
        <v>1000</v>
      </c>
      <c r="F89" s="11" t="s">
        <v>15</v>
      </c>
      <c r="G89" s="5" t="n">
        <v>75</v>
      </c>
      <c r="H89" s="5" t="n">
        <v>0</v>
      </c>
      <c r="I89" s="5" t="n">
        <v>0.15</v>
      </c>
      <c r="J89" s="8" t="s">
        <v>16</v>
      </c>
    </row>
    <row r="90" customFormat="false" ht="12.75" hidden="false" customHeight="true" outlineLevel="0" collapsed="false">
      <c r="A90" s="12" t="n">
        <f aca="false">A89+4000</f>
        <v>344500</v>
      </c>
      <c r="B90" s="10" t="str">
        <f aca="false">INT(A90/60000) &amp; ":" &amp; INT(MOD(A90/1000, 60)) &amp; "." &amp; TEXT(INT(MOD(A90/1, 1000)), "000")</f>
        <v>5:44.500</v>
      </c>
      <c r="C90" s="7" t="s">
        <v>12</v>
      </c>
      <c r="D90" s="7" t="s">
        <v>13</v>
      </c>
      <c r="E90" s="8" t="str">
        <f aca="false">INDEX(movelist!B:B, MATCH($D90, movelist!A:A, 0))</f>
        <v>1000</v>
      </c>
      <c r="F90" s="11" t="s">
        <v>11</v>
      </c>
      <c r="G90" s="5" t="n">
        <v>75</v>
      </c>
      <c r="H90" s="5" t="n">
        <v>0</v>
      </c>
      <c r="I90" s="5" t="n">
        <v>0</v>
      </c>
      <c r="J90" s="8" t="s">
        <v>14</v>
      </c>
    </row>
    <row r="91" customFormat="false" ht="12.75" hidden="false" customHeight="true" outlineLevel="0" collapsed="false">
      <c r="A91" s="1" t="n">
        <f aca="false">A90 + 4000</f>
        <v>348500</v>
      </c>
      <c r="B91" s="10" t="str">
        <f aca="false">INT(A91/60000) &amp; ":" &amp; INT(MOD(A91/1000, 60)) &amp; "." &amp; TEXT(INT(MOD(A91/1, 1000)), "000")</f>
        <v>5:48.500</v>
      </c>
      <c r="C91" s="7" t="s">
        <v>12</v>
      </c>
      <c r="D91" s="7" t="s">
        <v>13</v>
      </c>
      <c r="E91" s="8" t="str">
        <f aca="false">INDEX(movelist!B:B, MATCH($D91, movelist!A:A, 0))</f>
        <v>1000</v>
      </c>
      <c r="F91" s="11" t="s">
        <v>15</v>
      </c>
      <c r="G91" s="5" t="n">
        <v>75</v>
      </c>
      <c r="H91" s="5" t="n">
        <v>0</v>
      </c>
      <c r="I91" s="5" t="n">
        <v>0.15</v>
      </c>
      <c r="J91" s="8" t="s">
        <v>16</v>
      </c>
    </row>
    <row r="92" customFormat="false" ht="12.75" hidden="false" customHeight="true" outlineLevel="0" collapsed="false">
      <c r="A92" s="12" t="n">
        <f aca="false">A91+4000</f>
        <v>352500</v>
      </c>
      <c r="B92" s="10" t="str">
        <f aca="false">INT(A92/60000) &amp; ":" &amp; INT(MOD(A92/1000, 60)) &amp; "." &amp; TEXT(INT(MOD(A92/1, 1000)), "000")</f>
        <v>5:52.500</v>
      </c>
      <c r="C92" s="7" t="s">
        <v>12</v>
      </c>
      <c r="D92" s="7" t="s">
        <v>13</v>
      </c>
      <c r="E92" s="8" t="str">
        <f aca="false">INDEX(movelist!B:B, MATCH($D92, movelist!A:A, 0))</f>
        <v>1000</v>
      </c>
      <c r="F92" s="11" t="s">
        <v>11</v>
      </c>
      <c r="G92" s="5" t="n">
        <v>75</v>
      </c>
      <c r="H92" s="5" t="n">
        <v>0</v>
      </c>
      <c r="I92" s="5" t="n">
        <v>0</v>
      </c>
      <c r="J92" s="8" t="s">
        <v>14</v>
      </c>
    </row>
    <row r="93" customFormat="false" ht="12.75" hidden="false" customHeight="true" outlineLevel="0" collapsed="false">
      <c r="A93" s="1" t="n">
        <f aca="false">A92 + 4000</f>
        <v>356500</v>
      </c>
      <c r="B93" s="10" t="str">
        <f aca="false">INT(A93/60000) &amp; ":" &amp; INT(MOD(A93/1000, 60)) &amp; "." &amp; TEXT(INT(MOD(A93/1, 1000)), "000")</f>
        <v>5:56.500</v>
      </c>
      <c r="C93" s="7" t="s">
        <v>12</v>
      </c>
      <c r="D93" s="7" t="s">
        <v>13</v>
      </c>
      <c r="E93" s="8" t="str">
        <f aca="false">INDEX(movelist!B:B, MATCH($D93, movelist!A:A, 0))</f>
        <v>1000</v>
      </c>
      <c r="F93" s="11" t="s">
        <v>15</v>
      </c>
      <c r="G93" s="5" t="n">
        <v>75</v>
      </c>
      <c r="H93" s="5" t="n">
        <v>0</v>
      </c>
      <c r="I93" s="5" t="n">
        <v>0.15</v>
      </c>
      <c r="J93" s="8" t="s">
        <v>16</v>
      </c>
    </row>
    <row r="94" customFormat="false" ht="12.75" hidden="false" customHeight="true" outlineLevel="0" collapsed="false">
      <c r="A94" s="12" t="n">
        <f aca="false">A93+4000</f>
        <v>360500</v>
      </c>
      <c r="B94" s="10" t="str">
        <f aca="false">INT(A94/60000) &amp; ":" &amp; INT(MOD(A94/1000, 60)) &amp; "." &amp; TEXT(INT(MOD(A94/1, 1000)), "000")</f>
        <v>6:0.500</v>
      </c>
      <c r="C94" s="7" t="s">
        <v>12</v>
      </c>
      <c r="D94" s="7" t="s">
        <v>13</v>
      </c>
      <c r="E94" s="8" t="str">
        <f aca="false">INDEX(movelist!B:B, MATCH($D94, movelist!A:A, 0))</f>
        <v>1000</v>
      </c>
      <c r="F94" s="11" t="s">
        <v>11</v>
      </c>
      <c r="G94" s="5" t="n">
        <v>75</v>
      </c>
      <c r="H94" s="5" t="n">
        <v>0</v>
      </c>
      <c r="I94" s="5" t="n">
        <v>0</v>
      </c>
      <c r="J94" s="8" t="s">
        <v>14</v>
      </c>
    </row>
    <row r="95" customFormat="false" ht="12.75" hidden="false" customHeight="true" outlineLevel="0" collapsed="false">
      <c r="A95" s="1" t="n">
        <f aca="false">A94 + 4000</f>
        <v>364500</v>
      </c>
      <c r="B95" s="10" t="str">
        <f aca="false">INT(A95/60000) &amp; ":" &amp; INT(MOD(A95/1000, 60)) &amp; "." &amp; TEXT(INT(MOD(A95/1, 1000)), "000")</f>
        <v>6:4.500</v>
      </c>
      <c r="C95" s="7" t="s">
        <v>12</v>
      </c>
      <c r="D95" s="7" t="s">
        <v>13</v>
      </c>
      <c r="E95" s="8" t="str">
        <f aca="false">INDEX(movelist!B:B, MATCH($D95, movelist!A:A, 0))</f>
        <v>1000</v>
      </c>
      <c r="F95" s="11" t="s">
        <v>15</v>
      </c>
      <c r="G95" s="5" t="n">
        <v>75</v>
      </c>
      <c r="H95" s="5" t="n">
        <v>0</v>
      </c>
      <c r="I95" s="5" t="n">
        <v>0.15</v>
      </c>
      <c r="J95" s="8" t="s">
        <v>16</v>
      </c>
    </row>
    <row r="96" customFormat="false" ht="12.75" hidden="false" customHeight="true" outlineLevel="0" collapsed="false">
      <c r="A96" s="12" t="n">
        <f aca="false">A95+4000</f>
        <v>368500</v>
      </c>
      <c r="B96" s="10" t="str">
        <f aca="false">INT(A96/60000) &amp; ":" &amp; INT(MOD(A96/1000, 60)) &amp; "." &amp; TEXT(INT(MOD(A96/1, 1000)), "000")</f>
        <v>6:8.500</v>
      </c>
      <c r="C96" s="7" t="s">
        <v>12</v>
      </c>
      <c r="D96" s="7" t="s">
        <v>13</v>
      </c>
      <c r="E96" s="8" t="str">
        <f aca="false">INDEX(movelist!B:B, MATCH($D96, movelist!A:A, 0))</f>
        <v>1000</v>
      </c>
      <c r="F96" s="11" t="s">
        <v>11</v>
      </c>
      <c r="G96" s="5" t="n">
        <v>75</v>
      </c>
      <c r="H96" s="5" t="n">
        <v>0</v>
      </c>
      <c r="I96" s="5" t="n">
        <v>0</v>
      </c>
      <c r="J96" s="8" t="s">
        <v>14</v>
      </c>
    </row>
    <row r="97" customFormat="false" ht="12.75" hidden="false" customHeight="true" outlineLevel="0" collapsed="false">
      <c r="A97" s="1" t="n">
        <f aca="false">A96 + 4000</f>
        <v>372500</v>
      </c>
      <c r="B97" s="10" t="str">
        <f aca="false">INT(A97/60000) &amp; ":" &amp; INT(MOD(A97/1000, 60)) &amp; "." &amp; TEXT(INT(MOD(A97/1, 1000)), "000")</f>
        <v>6:12.500</v>
      </c>
      <c r="C97" s="7" t="s">
        <v>12</v>
      </c>
      <c r="D97" s="7" t="s">
        <v>13</v>
      </c>
      <c r="E97" s="8" t="str">
        <f aca="false">INDEX(movelist!B:B, MATCH($D97, movelist!A:A, 0))</f>
        <v>1000</v>
      </c>
      <c r="F97" s="11" t="s">
        <v>15</v>
      </c>
      <c r="G97" s="5" t="n">
        <v>75</v>
      </c>
      <c r="H97" s="5" t="n">
        <v>0</v>
      </c>
      <c r="I97" s="5" t="n">
        <v>0.15</v>
      </c>
      <c r="J97" s="8" t="s">
        <v>16</v>
      </c>
    </row>
    <row r="98" customFormat="false" ht="12.75" hidden="false" customHeight="true" outlineLevel="0" collapsed="false">
      <c r="A98" s="12" t="n">
        <f aca="false">A97+4000</f>
        <v>376500</v>
      </c>
      <c r="B98" s="10" t="str">
        <f aca="false">INT(A98/60000) &amp; ":" &amp; INT(MOD(A98/1000, 60)) &amp; "." &amp; TEXT(INT(MOD(A98/1, 1000)), "000")</f>
        <v>6:16.500</v>
      </c>
      <c r="C98" s="7" t="s">
        <v>12</v>
      </c>
      <c r="D98" s="7" t="s">
        <v>13</v>
      </c>
      <c r="E98" s="8" t="str">
        <f aca="false">INDEX(movelist!B:B, MATCH($D98, movelist!A:A, 0))</f>
        <v>1000</v>
      </c>
      <c r="F98" s="11" t="s">
        <v>11</v>
      </c>
      <c r="G98" s="5" t="n">
        <v>75</v>
      </c>
      <c r="H98" s="5" t="n">
        <v>0</v>
      </c>
      <c r="I98" s="5" t="n">
        <v>0</v>
      </c>
      <c r="J98" s="8" t="s">
        <v>14</v>
      </c>
    </row>
    <row r="99" customFormat="false" ht="12.75" hidden="false" customHeight="true" outlineLevel="0" collapsed="false">
      <c r="A99" s="1" t="n">
        <f aca="false">A98 + 4000</f>
        <v>380500</v>
      </c>
      <c r="B99" s="10" t="str">
        <f aca="false">INT(A99/60000) &amp; ":" &amp; INT(MOD(A99/1000, 60)) &amp; "." &amp; TEXT(INT(MOD(A99/1, 1000)), "000")</f>
        <v>6:20.500</v>
      </c>
      <c r="C99" s="7" t="s">
        <v>12</v>
      </c>
      <c r="D99" s="7" t="s">
        <v>13</v>
      </c>
      <c r="E99" s="8" t="str">
        <f aca="false">INDEX(movelist!B:B, MATCH($D99, movelist!A:A, 0))</f>
        <v>1000</v>
      </c>
      <c r="F99" s="11" t="s">
        <v>15</v>
      </c>
      <c r="G99" s="5" t="n">
        <v>75</v>
      </c>
      <c r="H99" s="5" t="n">
        <v>0</v>
      </c>
      <c r="I99" s="5" t="n">
        <v>0.15</v>
      </c>
      <c r="J99" s="8" t="s">
        <v>16</v>
      </c>
    </row>
    <row r="100" customFormat="false" ht="12.75" hidden="false" customHeight="true" outlineLevel="0" collapsed="false">
      <c r="A100" s="12" t="n">
        <f aca="false">A99+4000</f>
        <v>384500</v>
      </c>
      <c r="B100" s="10" t="str">
        <f aca="false">INT(A100/60000) &amp; ":" &amp; INT(MOD(A100/1000, 60)) &amp; "." &amp; TEXT(INT(MOD(A100/1, 1000)), "000")</f>
        <v>6:24.500</v>
      </c>
      <c r="C100" s="7" t="s">
        <v>12</v>
      </c>
      <c r="D100" s="7" t="s">
        <v>13</v>
      </c>
      <c r="E100" s="8" t="str">
        <f aca="false">INDEX(movelist!B:B, MATCH($D100, movelist!A:A, 0))</f>
        <v>1000</v>
      </c>
      <c r="F100" s="11" t="s">
        <v>11</v>
      </c>
      <c r="G100" s="5" t="n">
        <v>75</v>
      </c>
      <c r="H100" s="5" t="n">
        <v>0</v>
      </c>
      <c r="I100" s="5" t="n">
        <v>0</v>
      </c>
      <c r="J100" s="8" t="s">
        <v>14</v>
      </c>
    </row>
    <row r="101" customFormat="false" ht="12.75" hidden="false" customHeight="true" outlineLevel="0" collapsed="false">
      <c r="A101" s="1" t="n">
        <f aca="false">A100 + 4000</f>
        <v>388500</v>
      </c>
      <c r="B101" s="10" t="str">
        <f aca="false">INT(A101/60000) &amp; ":" &amp; INT(MOD(A101/1000, 60)) &amp; "." &amp; TEXT(INT(MOD(A101/1, 1000)), "000")</f>
        <v>6:28.500</v>
      </c>
      <c r="C101" s="7" t="s">
        <v>12</v>
      </c>
      <c r="D101" s="7" t="s">
        <v>13</v>
      </c>
      <c r="E101" s="8" t="str">
        <f aca="false">INDEX(movelist!B:B, MATCH($D101, movelist!A:A, 0))</f>
        <v>1000</v>
      </c>
      <c r="F101" s="11" t="s">
        <v>15</v>
      </c>
      <c r="G101" s="5" t="n">
        <v>75</v>
      </c>
      <c r="H101" s="5" t="n">
        <v>0</v>
      </c>
      <c r="I101" s="5" t="n">
        <v>0.15</v>
      </c>
      <c r="J101" s="8" t="s">
        <v>16</v>
      </c>
    </row>
    <row r="102" customFormat="false" ht="12.75" hidden="false" customHeight="true" outlineLevel="0" collapsed="false">
      <c r="A102" s="12" t="n">
        <f aca="false">A101+4000</f>
        <v>392500</v>
      </c>
      <c r="B102" s="10" t="str">
        <f aca="false">INT(A102/60000) &amp; ":" &amp; INT(MOD(A102/1000, 60)) &amp; "." &amp; TEXT(INT(MOD(A102/1, 1000)), "000")</f>
        <v>6:32.500</v>
      </c>
      <c r="C102" s="7" t="s">
        <v>12</v>
      </c>
      <c r="D102" s="7" t="s">
        <v>13</v>
      </c>
      <c r="E102" s="8" t="str">
        <f aca="false">INDEX(movelist!B:B, MATCH($D102, movelist!A:A, 0))</f>
        <v>1000</v>
      </c>
      <c r="F102" s="11" t="s">
        <v>11</v>
      </c>
      <c r="G102" s="5" t="n">
        <v>75</v>
      </c>
      <c r="H102" s="5" t="n">
        <v>0</v>
      </c>
      <c r="I102" s="5" t="n">
        <v>0</v>
      </c>
      <c r="J102" s="8" t="s">
        <v>14</v>
      </c>
    </row>
    <row r="103" customFormat="false" ht="12.75" hidden="false" customHeight="true" outlineLevel="0" collapsed="false">
      <c r="A103" s="1" t="n">
        <f aca="false">A102 + 4000</f>
        <v>396500</v>
      </c>
      <c r="B103" s="10" t="str">
        <f aca="false">INT(A103/60000) &amp; ":" &amp; INT(MOD(A103/1000, 60)) &amp; "." &amp; TEXT(INT(MOD(A103/1, 1000)), "000")</f>
        <v>6:36.500</v>
      </c>
      <c r="C103" s="7" t="s">
        <v>12</v>
      </c>
      <c r="D103" s="7" t="s">
        <v>13</v>
      </c>
      <c r="E103" s="8" t="str">
        <f aca="false">INDEX(movelist!B:B, MATCH($D103, movelist!A:A, 0))</f>
        <v>1000</v>
      </c>
      <c r="F103" s="11" t="s">
        <v>15</v>
      </c>
      <c r="G103" s="5" t="n">
        <v>75</v>
      </c>
      <c r="H103" s="5" t="n">
        <v>0</v>
      </c>
      <c r="I103" s="5" t="n">
        <v>0.15</v>
      </c>
      <c r="J103" s="8" t="s">
        <v>16</v>
      </c>
    </row>
    <row r="104" customFormat="false" ht="12.75" hidden="false" customHeight="true" outlineLevel="0" collapsed="false">
      <c r="A104" s="12" t="n">
        <f aca="false">A103+4000</f>
        <v>400500</v>
      </c>
      <c r="B104" s="10" t="str">
        <f aca="false">INT(A104/60000) &amp; ":" &amp; INT(MOD(A104/1000, 60)) &amp; "." &amp; TEXT(INT(MOD(A104/1, 1000)), "000")</f>
        <v>6:40.500</v>
      </c>
      <c r="C104" s="7" t="s">
        <v>12</v>
      </c>
      <c r="D104" s="7" t="s">
        <v>13</v>
      </c>
      <c r="E104" s="8" t="str">
        <f aca="false">INDEX(movelist!B:B, MATCH($D104, movelist!A:A, 0))</f>
        <v>1000</v>
      </c>
      <c r="F104" s="11" t="s">
        <v>11</v>
      </c>
      <c r="G104" s="5" t="n">
        <v>75</v>
      </c>
      <c r="H104" s="5" t="n">
        <v>0</v>
      </c>
      <c r="I104" s="5" t="n">
        <v>0</v>
      </c>
      <c r="J104" s="8" t="s">
        <v>14</v>
      </c>
    </row>
    <row r="105" customFormat="false" ht="12.75" hidden="false" customHeight="true" outlineLevel="0" collapsed="false">
      <c r="A105" s="1" t="n">
        <f aca="false">A104 + 4000</f>
        <v>404500</v>
      </c>
      <c r="B105" s="10" t="str">
        <f aca="false">INT(A105/60000) &amp; ":" &amp; INT(MOD(A105/1000, 60)) &amp; "." &amp; TEXT(INT(MOD(A105/1, 1000)), "000")</f>
        <v>6:44.500</v>
      </c>
      <c r="C105" s="7" t="s">
        <v>12</v>
      </c>
      <c r="D105" s="7" t="s">
        <v>13</v>
      </c>
      <c r="E105" s="8" t="str">
        <f aca="false">INDEX(movelist!B:B, MATCH($D105, movelist!A:A, 0))</f>
        <v>1000</v>
      </c>
      <c r="F105" s="11" t="s">
        <v>15</v>
      </c>
      <c r="G105" s="5" t="n">
        <v>75</v>
      </c>
      <c r="H105" s="5" t="n">
        <v>0</v>
      </c>
      <c r="I105" s="5" t="n">
        <v>0.15</v>
      </c>
      <c r="J105" s="8" t="s">
        <v>16</v>
      </c>
    </row>
    <row r="106" customFormat="false" ht="12.75" hidden="false" customHeight="true" outlineLevel="0" collapsed="false">
      <c r="A106" s="12" t="n">
        <f aca="false">A105+4000</f>
        <v>408500</v>
      </c>
      <c r="B106" s="10" t="str">
        <f aca="false">INT(A106/60000) &amp; ":" &amp; INT(MOD(A106/1000, 60)) &amp; "." &amp; TEXT(INT(MOD(A106/1, 1000)), "000")</f>
        <v>6:48.500</v>
      </c>
      <c r="C106" s="7" t="s">
        <v>12</v>
      </c>
      <c r="D106" s="7" t="s">
        <v>13</v>
      </c>
      <c r="E106" s="8" t="str">
        <f aca="false">INDEX(movelist!B:B, MATCH($D106, movelist!A:A, 0))</f>
        <v>1000</v>
      </c>
      <c r="F106" s="11" t="s">
        <v>11</v>
      </c>
      <c r="G106" s="5" t="n">
        <v>75</v>
      </c>
      <c r="H106" s="5" t="n">
        <v>0</v>
      </c>
      <c r="I106" s="5" t="n">
        <v>0</v>
      </c>
      <c r="J106" s="8" t="s">
        <v>14</v>
      </c>
    </row>
    <row r="107" customFormat="false" ht="12.75" hidden="false" customHeight="true" outlineLevel="0" collapsed="false">
      <c r="A107" s="1" t="n">
        <f aca="false">A106 + 4000</f>
        <v>412500</v>
      </c>
      <c r="B107" s="10" t="str">
        <f aca="false">INT(A107/60000) &amp; ":" &amp; INT(MOD(A107/1000, 60)) &amp; "." &amp; TEXT(INT(MOD(A107/1, 1000)), "000")</f>
        <v>6:52.500</v>
      </c>
      <c r="C107" s="7" t="s">
        <v>12</v>
      </c>
      <c r="D107" s="7" t="s">
        <v>13</v>
      </c>
      <c r="E107" s="8" t="str">
        <f aca="false">INDEX(movelist!B:B, MATCH($D107, movelist!A:A, 0))</f>
        <v>1000</v>
      </c>
      <c r="F107" s="11" t="s">
        <v>15</v>
      </c>
      <c r="G107" s="5" t="n">
        <v>75</v>
      </c>
      <c r="H107" s="5" t="n">
        <v>0</v>
      </c>
      <c r="I107" s="5" t="n">
        <v>0.15</v>
      </c>
      <c r="J107" s="8" t="s">
        <v>16</v>
      </c>
    </row>
    <row r="108" customFormat="false" ht="12.75" hidden="false" customHeight="true" outlineLevel="0" collapsed="false">
      <c r="A108" s="12" t="n">
        <f aca="false">A107+4000</f>
        <v>416500</v>
      </c>
      <c r="B108" s="10" t="str">
        <f aca="false">INT(A108/60000) &amp; ":" &amp; INT(MOD(A108/1000, 60)) &amp; "." &amp; TEXT(INT(MOD(A108/1, 1000)), "000")</f>
        <v>6:56.500</v>
      </c>
      <c r="C108" s="7" t="s">
        <v>12</v>
      </c>
      <c r="D108" s="7" t="s">
        <v>13</v>
      </c>
      <c r="E108" s="8" t="str">
        <f aca="false">INDEX(movelist!B:B, MATCH($D108, movelist!A:A, 0))</f>
        <v>1000</v>
      </c>
      <c r="F108" s="11" t="s">
        <v>11</v>
      </c>
      <c r="G108" s="5" t="n">
        <v>75</v>
      </c>
      <c r="H108" s="5" t="n">
        <v>0</v>
      </c>
      <c r="I108" s="5" t="n">
        <v>0</v>
      </c>
      <c r="J108" s="8" t="s">
        <v>14</v>
      </c>
    </row>
    <row r="109" customFormat="false" ht="12.75" hidden="false" customHeight="true" outlineLevel="0" collapsed="false">
      <c r="A109" s="1" t="n">
        <f aca="false">A108 + 4000</f>
        <v>420500</v>
      </c>
      <c r="B109" s="10" t="str">
        <f aca="false">INT(A109/60000) &amp; ":" &amp; INT(MOD(A109/1000, 60)) &amp; "." &amp; TEXT(INT(MOD(A109/1, 1000)), "000")</f>
        <v>7:0.500</v>
      </c>
      <c r="C109" s="7" t="s">
        <v>12</v>
      </c>
      <c r="D109" s="7" t="s">
        <v>13</v>
      </c>
      <c r="E109" s="8" t="str">
        <f aca="false">INDEX(movelist!B:B, MATCH($D109, movelist!A:A, 0))</f>
        <v>1000</v>
      </c>
      <c r="F109" s="11" t="s">
        <v>15</v>
      </c>
      <c r="G109" s="5" t="n">
        <v>75</v>
      </c>
      <c r="H109" s="5" t="n">
        <v>0</v>
      </c>
      <c r="I109" s="5" t="n">
        <v>0.15</v>
      </c>
      <c r="J109" s="8" t="s">
        <v>16</v>
      </c>
    </row>
    <row r="110" customFormat="false" ht="12.75" hidden="false" customHeight="true" outlineLevel="0" collapsed="false">
      <c r="A110" s="12" t="n">
        <f aca="false">A109+4000</f>
        <v>424500</v>
      </c>
      <c r="B110" s="10" t="str">
        <f aca="false">INT(A110/60000) &amp; ":" &amp; INT(MOD(A110/1000, 60)) &amp; "." &amp; TEXT(INT(MOD(A110/1, 1000)), "000")</f>
        <v>7:4.500</v>
      </c>
      <c r="C110" s="7" t="s">
        <v>12</v>
      </c>
      <c r="D110" s="7" t="s">
        <v>13</v>
      </c>
      <c r="E110" s="8" t="str">
        <f aca="false">INDEX(movelist!B:B, MATCH($D110, movelist!A:A, 0))</f>
        <v>1000</v>
      </c>
      <c r="F110" s="11" t="s">
        <v>11</v>
      </c>
      <c r="G110" s="5" t="n">
        <v>75</v>
      </c>
      <c r="H110" s="5" t="n">
        <v>0</v>
      </c>
      <c r="I110" s="5" t="n">
        <v>0</v>
      </c>
      <c r="J110" s="8" t="s">
        <v>14</v>
      </c>
    </row>
    <row r="111" customFormat="false" ht="12.75" hidden="false" customHeight="true" outlineLevel="0" collapsed="false">
      <c r="A111" s="1" t="n">
        <f aca="false">A110 + 4000</f>
        <v>428500</v>
      </c>
      <c r="B111" s="10" t="str">
        <f aca="false">INT(A111/60000) &amp; ":" &amp; INT(MOD(A111/1000, 60)) &amp; "." &amp; TEXT(INT(MOD(A111/1, 1000)), "000")</f>
        <v>7:8.500</v>
      </c>
      <c r="C111" s="7" t="s">
        <v>12</v>
      </c>
      <c r="D111" s="7" t="s">
        <v>13</v>
      </c>
      <c r="E111" s="8" t="str">
        <f aca="false">INDEX(movelist!B:B, MATCH($D111, movelist!A:A, 0))</f>
        <v>1000</v>
      </c>
      <c r="F111" s="11" t="s">
        <v>15</v>
      </c>
      <c r="G111" s="5" t="n">
        <v>75</v>
      </c>
      <c r="H111" s="5" t="n">
        <v>0</v>
      </c>
      <c r="I111" s="5" t="n">
        <v>0.15</v>
      </c>
      <c r="J111" s="8" t="s">
        <v>16</v>
      </c>
    </row>
    <row r="112" customFormat="false" ht="12.75" hidden="false" customHeight="true" outlineLevel="0" collapsed="false">
      <c r="A112" s="12" t="n">
        <f aca="false">A111+4000</f>
        <v>432500</v>
      </c>
      <c r="B112" s="10" t="str">
        <f aca="false">INT(A112/60000) &amp; ":" &amp; INT(MOD(A112/1000, 60)) &amp; "." &amp; TEXT(INT(MOD(A112/1, 1000)), "000")</f>
        <v>7:12.500</v>
      </c>
      <c r="C112" s="7" t="s">
        <v>12</v>
      </c>
      <c r="D112" s="7" t="s">
        <v>13</v>
      </c>
      <c r="E112" s="8" t="str">
        <f aca="false">INDEX(movelist!B:B, MATCH($D112, movelist!A:A, 0))</f>
        <v>1000</v>
      </c>
      <c r="F112" s="11" t="s">
        <v>11</v>
      </c>
      <c r="G112" s="5" t="n">
        <v>75</v>
      </c>
      <c r="H112" s="5" t="n">
        <v>0</v>
      </c>
      <c r="I112" s="5" t="n">
        <v>0</v>
      </c>
      <c r="J112" s="8" t="s">
        <v>14</v>
      </c>
    </row>
    <row r="113" customFormat="false" ht="12.75" hidden="false" customHeight="true" outlineLevel="0" collapsed="false">
      <c r="A113" s="1" t="n">
        <f aca="false">A112 + 4000</f>
        <v>436500</v>
      </c>
      <c r="B113" s="10" t="str">
        <f aca="false">INT(A113/60000) &amp; ":" &amp; INT(MOD(A113/1000, 60)) &amp; "." &amp; TEXT(INT(MOD(A113/1, 1000)), "000")</f>
        <v>7:16.500</v>
      </c>
      <c r="C113" s="7" t="s">
        <v>12</v>
      </c>
      <c r="D113" s="7" t="s">
        <v>13</v>
      </c>
      <c r="E113" s="8" t="str">
        <f aca="false">INDEX(movelist!B:B, MATCH($D113, movelist!A:A, 0))</f>
        <v>1000</v>
      </c>
      <c r="F113" s="11" t="s">
        <v>15</v>
      </c>
      <c r="G113" s="5" t="n">
        <v>75</v>
      </c>
      <c r="H113" s="5" t="n">
        <v>0</v>
      </c>
      <c r="I113" s="5" t="n">
        <v>0.15</v>
      </c>
      <c r="J113" s="8" t="s">
        <v>16</v>
      </c>
    </row>
    <row r="114" customFormat="false" ht="12.75" hidden="false" customHeight="true" outlineLevel="0" collapsed="false">
      <c r="A114" s="12" t="n">
        <f aca="false">A113+4000</f>
        <v>440500</v>
      </c>
      <c r="B114" s="10" t="str">
        <f aca="false">INT(A114/60000) &amp; ":" &amp; INT(MOD(A114/1000, 60)) &amp; "." &amp; TEXT(INT(MOD(A114/1, 1000)), "000")</f>
        <v>7:20.500</v>
      </c>
      <c r="C114" s="7" t="s">
        <v>12</v>
      </c>
      <c r="D114" s="7" t="s">
        <v>13</v>
      </c>
      <c r="E114" s="8" t="str">
        <f aca="false">INDEX(movelist!B:B, MATCH($D114, movelist!A:A, 0))</f>
        <v>1000</v>
      </c>
      <c r="F114" s="11" t="s">
        <v>11</v>
      </c>
      <c r="G114" s="5" t="n">
        <v>75</v>
      </c>
      <c r="H114" s="5" t="n">
        <v>0</v>
      </c>
      <c r="I114" s="5" t="n">
        <v>0</v>
      </c>
      <c r="J114" s="8" t="s">
        <v>14</v>
      </c>
    </row>
    <row r="115" customFormat="false" ht="12.75" hidden="false" customHeight="true" outlineLevel="0" collapsed="false">
      <c r="A115" s="1" t="n">
        <f aca="false">A114 + 4000</f>
        <v>444500</v>
      </c>
      <c r="B115" s="10" t="str">
        <f aca="false">INT(A115/60000) &amp; ":" &amp; INT(MOD(A115/1000, 60)) &amp; "." &amp; TEXT(INT(MOD(A115/1, 1000)), "000")</f>
        <v>7:24.500</v>
      </c>
      <c r="C115" s="7" t="s">
        <v>12</v>
      </c>
      <c r="D115" s="7" t="s">
        <v>13</v>
      </c>
      <c r="E115" s="8" t="str">
        <f aca="false">INDEX(movelist!B:B, MATCH($D115, movelist!A:A, 0))</f>
        <v>1000</v>
      </c>
      <c r="F115" s="11" t="s">
        <v>15</v>
      </c>
      <c r="G115" s="5" t="n">
        <v>75</v>
      </c>
      <c r="H115" s="5" t="n">
        <v>0</v>
      </c>
      <c r="I115" s="5" t="n">
        <v>0.15</v>
      </c>
      <c r="J115" s="8" t="s">
        <v>16</v>
      </c>
    </row>
    <row r="116" customFormat="false" ht="12.75" hidden="false" customHeight="true" outlineLevel="0" collapsed="false">
      <c r="A116" s="12" t="n">
        <f aca="false">A115+4000</f>
        <v>448500</v>
      </c>
      <c r="B116" s="10" t="str">
        <f aca="false">INT(A116/60000) &amp; ":" &amp; INT(MOD(A116/1000, 60)) &amp; "." &amp; TEXT(INT(MOD(A116/1, 1000)), "000")</f>
        <v>7:28.500</v>
      </c>
      <c r="C116" s="7" t="s">
        <v>12</v>
      </c>
      <c r="D116" s="7" t="s">
        <v>13</v>
      </c>
      <c r="E116" s="8" t="str">
        <f aca="false">INDEX(movelist!B:B, MATCH($D116, movelist!A:A, 0))</f>
        <v>1000</v>
      </c>
      <c r="F116" s="11" t="s">
        <v>11</v>
      </c>
      <c r="G116" s="5" t="n">
        <v>75</v>
      </c>
      <c r="H116" s="5" t="n">
        <v>0</v>
      </c>
      <c r="I116" s="5" t="n">
        <v>0</v>
      </c>
      <c r="J116" s="8" t="s">
        <v>14</v>
      </c>
    </row>
    <row r="117" customFormat="false" ht="12.75" hidden="false" customHeight="true" outlineLevel="0" collapsed="false">
      <c r="A117" s="1" t="n">
        <f aca="false">A116 + 4000</f>
        <v>452500</v>
      </c>
      <c r="B117" s="10" t="str">
        <f aca="false">INT(A117/60000) &amp; ":" &amp; INT(MOD(A117/1000, 60)) &amp; "." &amp; TEXT(INT(MOD(A117/1, 1000)), "000")</f>
        <v>7:32.500</v>
      </c>
      <c r="C117" s="7" t="s">
        <v>12</v>
      </c>
      <c r="D117" s="7" t="s">
        <v>13</v>
      </c>
      <c r="E117" s="8" t="str">
        <f aca="false">INDEX(movelist!B:B, MATCH($D117, movelist!A:A, 0))</f>
        <v>1000</v>
      </c>
      <c r="F117" s="11" t="s">
        <v>15</v>
      </c>
      <c r="G117" s="5" t="n">
        <v>75</v>
      </c>
      <c r="H117" s="5" t="n">
        <v>0</v>
      </c>
      <c r="I117" s="5" t="n">
        <v>0.15</v>
      </c>
      <c r="J117" s="8" t="s">
        <v>16</v>
      </c>
    </row>
    <row r="118" customFormat="false" ht="12.75" hidden="false" customHeight="true" outlineLevel="0" collapsed="false">
      <c r="A118" s="12" t="n">
        <f aca="false">A117+4000</f>
        <v>456500</v>
      </c>
      <c r="B118" s="10" t="str">
        <f aca="false">INT(A118/60000) &amp; ":" &amp; INT(MOD(A118/1000, 60)) &amp; "." &amp; TEXT(INT(MOD(A118/1, 1000)), "000")</f>
        <v>7:36.500</v>
      </c>
      <c r="C118" s="7" t="s">
        <v>12</v>
      </c>
      <c r="D118" s="7" t="s">
        <v>13</v>
      </c>
      <c r="E118" s="8" t="str">
        <f aca="false">INDEX(movelist!B:B, MATCH($D118, movelist!A:A, 0))</f>
        <v>1000</v>
      </c>
      <c r="F118" s="11" t="s">
        <v>11</v>
      </c>
      <c r="G118" s="5" t="n">
        <v>75</v>
      </c>
      <c r="H118" s="5" t="n">
        <v>0</v>
      </c>
      <c r="I118" s="5" t="n">
        <v>0</v>
      </c>
      <c r="J118" s="8" t="s">
        <v>14</v>
      </c>
    </row>
    <row r="119" customFormat="false" ht="12.75" hidden="false" customHeight="true" outlineLevel="0" collapsed="false">
      <c r="A119" s="1" t="n">
        <f aca="false">A118 + 4000</f>
        <v>460500</v>
      </c>
      <c r="B119" s="10" t="str">
        <f aca="false">INT(A119/60000) &amp; ":" &amp; INT(MOD(A119/1000, 60)) &amp; "." &amp; TEXT(INT(MOD(A119/1, 1000)), "000")</f>
        <v>7:40.500</v>
      </c>
      <c r="C119" s="7" t="s">
        <v>12</v>
      </c>
      <c r="D119" s="7" t="s">
        <v>13</v>
      </c>
      <c r="E119" s="8" t="str">
        <f aca="false">INDEX(movelist!B:B, MATCH($D119, movelist!A:A, 0))</f>
        <v>1000</v>
      </c>
      <c r="F119" s="11" t="s">
        <v>15</v>
      </c>
      <c r="G119" s="5" t="n">
        <v>75</v>
      </c>
      <c r="H119" s="5" t="n">
        <v>0</v>
      </c>
      <c r="I119" s="5" t="n">
        <v>0.15</v>
      </c>
      <c r="J119" s="8" t="s">
        <v>16</v>
      </c>
    </row>
    <row r="120" customFormat="false" ht="12.75" hidden="false" customHeight="true" outlineLevel="0" collapsed="false">
      <c r="A120" s="12" t="n">
        <f aca="false">A119+4000</f>
        <v>464500</v>
      </c>
      <c r="B120" s="10" t="str">
        <f aca="false">INT(A120/60000) &amp; ":" &amp; INT(MOD(A120/1000, 60)) &amp; "." &amp; TEXT(INT(MOD(A120/1, 1000)), "000")</f>
        <v>7:44.500</v>
      </c>
      <c r="C120" s="7" t="s">
        <v>12</v>
      </c>
      <c r="D120" s="7" t="s">
        <v>13</v>
      </c>
      <c r="E120" s="8" t="str">
        <f aca="false">INDEX(movelist!B:B, MATCH($D120, movelist!A:A, 0))</f>
        <v>1000</v>
      </c>
      <c r="F120" s="11" t="s">
        <v>11</v>
      </c>
      <c r="G120" s="5" t="n">
        <v>75</v>
      </c>
      <c r="H120" s="5" t="n">
        <v>0</v>
      </c>
      <c r="I120" s="5" t="n">
        <v>0</v>
      </c>
      <c r="J120" s="8" t="s">
        <v>14</v>
      </c>
    </row>
    <row r="121" customFormat="false" ht="12.75" hidden="false" customHeight="true" outlineLevel="0" collapsed="false">
      <c r="A121" s="1" t="n">
        <f aca="false">A120 + 4000</f>
        <v>468500</v>
      </c>
      <c r="B121" s="10" t="str">
        <f aca="false">INT(A121/60000) &amp; ":" &amp; INT(MOD(A121/1000, 60)) &amp; "." &amp; TEXT(INT(MOD(A121/1, 1000)), "000")</f>
        <v>7:48.500</v>
      </c>
      <c r="C121" s="7" t="s">
        <v>12</v>
      </c>
      <c r="D121" s="7" t="s">
        <v>13</v>
      </c>
      <c r="E121" s="8" t="str">
        <f aca="false">INDEX(movelist!B:B, MATCH($D121, movelist!A:A, 0))</f>
        <v>1000</v>
      </c>
      <c r="F121" s="11" t="s">
        <v>15</v>
      </c>
      <c r="G121" s="5" t="n">
        <v>75</v>
      </c>
      <c r="H121" s="5" t="n">
        <v>0</v>
      </c>
      <c r="I121" s="5" t="n">
        <v>0.15</v>
      </c>
      <c r="J121" s="8" t="s">
        <v>16</v>
      </c>
    </row>
    <row r="122" customFormat="false" ht="12.75" hidden="false" customHeight="true" outlineLevel="0" collapsed="false">
      <c r="A122" s="12" t="n">
        <f aca="false">A121+4000</f>
        <v>472500</v>
      </c>
      <c r="B122" s="10" t="str">
        <f aca="false">INT(A122/60000) &amp; ":" &amp; INT(MOD(A122/1000, 60)) &amp; "." &amp; TEXT(INT(MOD(A122/1, 1000)), "000")</f>
        <v>7:52.500</v>
      </c>
      <c r="C122" s="7" t="s">
        <v>12</v>
      </c>
      <c r="D122" s="7" t="s">
        <v>13</v>
      </c>
      <c r="E122" s="8" t="str">
        <f aca="false">INDEX(movelist!B:B, MATCH($D122, movelist!A:A, 0))</f>
        <v>1000</v>
      </c>
      <c r="F122" s="11" t="s">
        <v>11</v>
      </c>
      <c r="G122" s="5" t="n">
        <v>75</v>
      </c>
      <c r="H122" s="5" t="n">
        <v>0</v>
      </c>
      <c r="I122" s="5" t="n">
        <v>0</v>
      </c>
      <c r="J122" s="8" t="s">
        <v>14</v>
      </c>
    </row>
    <row r="123" customFormat="false" ht="12.75" hidden="false" customHeight="true" outlineLevel="0" collapsed="false">
      <c r="A123" s="1" t="n">
        <f aca="false">A122 + 4000</f>
        <v>476500</v>
      </c>
      <c r="B123" s="10" t="str">
        <f aca="false">INT(A123/60000) &amp; ":" &amp; INT(MOD(A123/1000, 60)) &amp; "." &amp; TEXT(INT(MOD(A123/1, 1000)), "000")</f>
        <v>7:56.500</v>
      </c>
      <c r="C123" s="7" t="s">
        <v>12</v>
      </c>
      <c r="D123" s="7" t="s">
        <v>13</v>
      </c>
      <c r="E123" s="8" t="str">
        <f aca="false">INDEX(movelist!B:B, MATCH($D123, movelist!A:A, 0))</f>
        <v>1000</v>
      </c>
      <c r="F123" s="11" t="s">
        <v>15</v>
      </c>
      <c r="G123" s="5" t="n">
        <v>75</v>
      </c>
      <c r="H123" s="5" t="n">
        <v>0</v>
      </c>
      <c r="I123" s="5" t="n">
        <v>0.15</v>
      </c>
      <c r="J123" s="8" t="s">
        <v>16</v>
      </c>
    </row>
    <row r="124" customFormat="false" ht="12.75" hidden="false" customHeight="true" outlineLevel="0" collapsed="false">
      <c r="A124" s="12" t="n">
        <f aca="false">A123+4000</f>
        <v>480500</v>
      </c>
      <c r="B124" s="10" t="str">
        <f aca="false">INT(A124/60000) &amp; ":" &amp; INT(MOD(A124/1000, 60)) &amp; "." &amp; TEXT(INT(MOD(A124/1, 1000)), "000")</f>
        <v>8:0.500</v>
      </c>
      <c r="C124" s="7" t="s">
        <v>12</v>
      </c>
      <c r="D124" s="7" t="s">
        <v>13</v>
      </c>
      <c r="E124" s="8" t="str">
        <f aca="false">INDEX(movelist!B:B, MATCH($D124, movelist!A:A, 0))</f>
        <v>1000</v>
      </c>
      <c r="F124" s="11" t="s">
        <v>11</v>
      </c>
      <c r="G124" s="5" t="n">
        <v>75</v>
      </c>
      <c r="H124" s="5" t="n">
        <v>0</v>
      </c>
      <c r="I124" s="5" t="n">
        <v>0</v>
      </c>
      <c r="J124" s="8" t="s">
        <v>14</v>
      </c>
    </row>
    <row r="125" customFormat="false" ht="12.75" hidden="false" customHeight="true" outlineLevel="0" collapsed="false">
      <c r="A125" s="1" t="n">
        <f aca="false">A124 + 4000</f>
        <v>484500</v>
      </c>
      <c r="B125" s="10" t="str">
        <f aca="false">INT(A125/60000) &amp; ":" &amp; INT(MOD(A125/1000, 60)) &amp; "." &amp; TEXT(INT(MOD(A125/1, 1000)), "000")</f>
        <v>8:4.500</v>
      </c>
      <c r="C125" s="7" t="s">
        <v>12</v>
      </c>
      <c r="D125" s="7" t="s">
        <v>13</v>
      </c>
      <c r="E125" s="8" t="str">
        <f aca="false">INDEX(movelist!B:B, MATCH($D125, movelist!A:A, 0))</f>
        <v>1000</v>
      </c>
      <c r="F125" s="11" t="s">
        <v>15</v>
      </c>
      <c r="G125" s="5" t="n">
        <v>75</v>
      </c>
      <c r="H125" s="5" t="n">
        <v>0</v>
      </c>
      <c r="I125" s="5" t="n">
        <v>0.15</v>
      </c>
      <c r="J125" s="8" t="s">
        <v>16</v>
      </c>
    </row>
    <row r="126" customFormat="false" ht="12.75" hidden="false" customHeight="true" outlineLevel="0" collapsed="false">
      <c r="A126" s="12" t="n">
        <f aca="false">A125+4000</f>
        <v>488500</v>
      </c>
      <c r="B126" s="10" t="str">
        <f aca="false">INT(A126/60000) &amp; ":" &amp; INT(MOD(A126/1000, 60)) &amp; "." &amp; TEXT(INT(MOD(A126/1, 1000)), "000")</f>
        <v>8:8.500</v>
      </c>
      <c r="C126" s="7" t="s">
        <v>12</v>
      </c>
      <c r="D126" s="7" t="s">
        <v>13</v>
      </c>
      <c r="E126" s="8" t="str">
        <f aca="false">INDEX(movelist!B:B, MATCH($D126, movelist!A:A, 0))</f>
        <v>1000</v>
      </c>
      <c r="F126" s="11" t="s">
        <v>11</v>
      </c>
      <c r="G126" s="5" t="n">
        <v>75</v>
      </c>
      <c r="H126" s="5" t="n">
        <v>0</v>
      </c>
      <c r="I126" s="5" t="n">
        <v>0</v>
      </c>
      <c r="J126" s="8" t="s">
        <v>14</v>
      </c>
    </row>
    <row r="127" customFormat="false" ht="12.75" hidden="false" customHeight="true" outlineLevel="0" collapsed="false">
      <c r="A127" s="1" t="n">
        <f aca="false">A126 + 4000</f>
        <v>492500</v>
      </c>
      <c r="B127" s="10" t="str">
        <f aca="false">INT(A127/60000) &amp; ":" &amp; INT(MOD(A127/1000, 60)) &amp; "." &amp; TEXT(INT(MOD(A127/1, 1000)), "000")</f>
        <v>8:12.500</v>
      </c>
      <c r="C127" s="7" t="s">
        <v>12</v>
      </c>
      <c r="D127" s="7" t="s">
        <v>13</v>
      </c>
      <c r="E127" s="8" t="str">
        <f aca="false">INDEX(movelist!B:B, MATCH($D127, movelist!A:A, 0))</f>
        <v>1000</v>
      </c>
      <c r="F127" s="11" t="s">
        <v>15</v>
      </c>
      <c r="G127" s="5" t="n">
        <v>75</v>
      </c>
      <c r="H127" s="5" t="n">
        <v>0</v>
      </c>
      <c r="I127" s="5" t="n">
        <v>0.15</v>
      </c>
      <c r="J127" s="8" t="s">
        <v>16</v>
      </c>
    </row>
    <row r="128" customFormat="false" ht="12.75" hidden="false" customHeight="true" outlineLevel="0" collapsed="false">
      <c r="A128" s="12" t="n">
        <f aca="false">A127+4000</f>
        <v>496500</v>
      </c>
      <c r="B128" s="10" t="str">
        <f aca="false">INT(A128/60000) &amp; ":" &amp; INT(MOD(A128/1000, 60)) &amp; "." &amp; TEXT(INT(MOD(A128/1, 1000)), "000")</f>
        <v>8:16.500</v>
      </c>
      <c r="C128" s="7" t="s">
        <v>12</v>
      </c>
      <c r="D128" s="7" t="s">
        <v>13</v>
      </c>
      <c r="E128" s="8" t="str">
        <f aca="false">INDEX(movelist!B:B, MATCH($D128, movelist!A:A, 0))</f>
        <v>1000</v>
      </c>
      <c r="F128" s="11" t="s">
        <v>11</v>
      </c>
      <c r="G128" s="5" t="n">
        <v>75</v>
      </c>
      <c r="H128" s="5" t="n">
        <v>0</v>
      </c>
      <c r="I128" s="5" t="n">
        <v>0</v>
      </c>
      <c r="J128" s="8" t="s">
        <v>14</v>
      </c>
    </row>
    <row r="129" customFormat="false" ht="12.75" hidden="false" customHeight="true" outlineLevel="0" collapsed="false">
      <c r="A129" s="1" t="n">
        <f aca="false">A128 + 4000</f>
        <v>500500</v>
      </c>
      <c r="B129" s="10" t="str">
        <f aca="false">INT(A129/60000) &amp; ":" &amp; INT(MOD(A129/1000, 60)) &amp; "." &amp; TEXT(INT(MOD(A129/1, 1000)), "000")</f>
        <v>8:20.500</v>
      </c>
      <c r="C129" s="7" t="s">
        <v>12</v>
      </c>
      <c r="D129" s="7" t="s">
        <v>13</v>
      </c>
      <c r="E129" s="8" t="str">
        <f aca="false">INDEX(movelist!B:B, MATCH($D129, movelist!A:A, 0))</f>
        <v>1000</v>
      </c>
      <c r="F129" s="11" t="s">
        <v>15</v>
      </c>
      <c r="G129" s="5" t="n">
        <v>75</v>
      </c>
      <c r="H129" s="5" t="n">
        <v>0</v>
      </c>
      <c r="I129" s="5" t="n">
        <v>0.15</v>
      </c>
      <c r="J129" s="8" t="s">
        <v>16</v>
      </c>
    </row>
    <row r="130" customFormat="false" ht="12.75" hidden="false" customHeight="true" outlineLevel="0" collapsed="false">
      <c r="A130" s="12" t="n">
        <f aca="false">A129+4000</f>
        <v>504500</v>
      </c>
      <c r="B130" s="10" t="str">
        <f aca="false">INT(A130/60000) &amp; ":" &amp; INT(MOD(A130/1000, 60)) &amp; "." &amp; TEXT(INT(MOD(A130/1, 1000)), "000")</f>
        <v>8:24.500</v>
      </c>
      <c r="C130" s="7" t="s">
        <v>12</v>
      </c>
      <c r="D130" s="7" t="s">
        <v>13</v>
      </c>
      <c r="E130" s="8" t="str">
        <f aca="false">INDEX(movelist!B:B, MATCH($D130, movelist!A:A, 0))</f>
        <v>1000</v>
      </c>
      <c r="F130" s="11" t="s">
        <v>11</v>
      </c>
      <c r="G130" s="5" t="n">
        <v>75</v>
      </c>
      <c r="H130" s="5" t="n">
        <v>0</v>
      </c>
      <c r="I130" s="5" t="n">
        <v>0</v>
      </c>
      <c r="J130" s="8" t="s">
        <v>14</v>
      </c>
    </row>
    <row r="131" customFormat="false" ht="12.75" hidden="false" customHeight="true" outlineLevel="0" collapsed="false">
      <c r="A131" s="1" t="n">
        <f aca="false">A130 + 4000</f>
        <v>508500</v>
      </c>
      <c r="B131" s="10" t="str">
        <f aca="false">INT(A131/60000) &amp; ":" &amp; INT(MOD(A131/1000, 60)) &amp; "." &amp; TEXT(INT(MOD(A131/1, 1000)), "000")</f>
        <v>8:28.500</v>
      </c>
      <c r="C131" s="7" t="s">
        <v>12</v>
      </c>
      <c r="D131" s="7" t="s">
        <v>13</v>
      </c>
      <c r="E131" s="8" t="str">
        <f aca="false">INDEX(movelist!B:B, MATCH($D131, movelist!A:A, 0))</f>
        <v>1000</v>
      </c>
      <c r="F131" s="11" t="s">
        <v>15</v>
      </c>
      <c r="G131" s="5" t="n">
        <v>75</v>
      </c>
      <c r="H131" s="5" t="n">
        <v>0</v>
      </c>
      <c r="I131" s="5" t="n">
        <v>0.15</v>
      </c>
      <c r="J131" s="8" t="s">
        <v>16</v>
      </c>
    </row>
    <row r="132" customFormat="false" ht="12.75" hidden="false" customHeight="true" outlineLevel="0" collapsed="false">
      <c r="A132" s="12" t="n">
        <f aca="false">A131+4000</f>
        <v>512500</v>
      </c>
      <c r="B132" s="10" t="str">
        <f aca="false">INT(A132/60000) &amp; ":" &amp; INT(MOD(A132/1000, 60)) &amp; "." &amp; TEXT(INT(MOD(A132/1, 1000)), "000")</f>
        <v>8:32.500</v>
      </c>
      <c r="C132" s="7" t="s">
        <v>12</v>
      </c>
      <c r="D132" s="7" t="s">
        <v>13</v>
      </c>
      <c r="E132" s="8" t="str">
        <f aca="false">INDEX(movelist!B:B, MATCH($D132, movelist!A:A, 0))</f>
        <v>1000</v>
      </c>
      <c r="F132" s="11" t="s">
        <v>11</v>
      </c>
      <c r="G132" s="5" t="n">
        <v>75</v>
      </c>
      <c r="H132" s="5" t="n">
        <v>0</v>
      </c>
      <c r="I132" s="5" t="n">
        <v>0</v>
      </c>
      <c r="J132" s="8" t="s">
        <v>14</v>
      </c>
    </row>
    <row r="133" customFormat="false" ht="12.75" hidden="false" customHeight="true" outlineLevel="0" collapsed="false">
      <c r="A133" s="1" t="n">
        <f aca="false">A132 + 4000</f>
        <v>516500</v>
      </c>
      <c r="B133" s="10" t="str">
        <f aca="false">INT(A133/60000) &amp; ":" &amp; INT(MOD(A133/1000, 60)) &amp; "." &amp; TEXT(INT(MOD(A133/1, 1000)), "000")</f>
        <v>8:36.500</v>
      </c>
      <c r="C133" s="7" t="s">
        <v>12</v>
      </c>
      <c r="D133" s="7" t="s">
        <v>13</v>
      </c>
      <c r="E133" s="8" t="str">
        <f aca="false">INDEX(movelist!B:B, MATCH($D133, movelist!A:A, 0))</f>
        <v>1000</v>
      </c>
      <c r="F133" s="11" t="s">
        <v>15</v>
      </c>
      <c r="G133" s="5" t="n">
        <v>75</v>
      </c>
      <c r="H133" s="5" t="n">
        <v>0</v>
      </c>
      <c r="I133" s="5" t="n">
        <v>0.15</v>
      </c>
      <c r="J133" s="8" t="s">
        <v>16</v>
      </c>
    </row>
    <row r="134" customFormat="false" ht="12.75" hidden="false" customHeight="true" outlineLevel="0" collapsed="false">
      <c r="A134" s="12" t="n">
        <f aca="false">A133+4000</f>
        <v>520500</v>
      </c>
      <c r="B134" s="10" t="str">
        <f aca="false">INT(A134/60000) &amp; ":" &amp; INT(MOD(A134/1000, 60)) &amp; "." &amp; TEXT(INT(MOD(A134/1, 1000)), "000")</f>
        <v>8:40.500</v>
      </c>
      <c r="C134" s="7" t="s">
        <v>12</v>
      </c>
      <c r="D134" s="7" t="s">
        <v>13</v>
      </c>
      <c r="E134" s="8" t="str">
        <f aca="false">INDEX(movelist!B:B, MATCH($D134, movelist!A:A, 0))</f>
        <v>1000</v>
      </c>
      <c r="F134" s="11" t="s">
        <v>11</v>
      </c>
      <c r="G134" s="5" t="n">
        <v>75</v>
      </c>
      <c r="H134" s="5" t="n">
        <v>0</v>
      </c>
      <c r="I134" s="5" t="n">
        <v>0</v>
      </c>
      <c r="J134" s="8" t="s">
        <v>14</v>
      </c>
    </row>
    <row r="135" customFormat="false" ht="12.75" hidden="false" customHeight="true" outlineLevel="0" collapsed="false">
      <c r="A135" s="1" t="n">
        <f aca="false">A134 + 4000</f>
        <v>524500</v>
      </c>
      <c r="B135" s="10" t="str">
        <f aca="false">INT(A135/60000) &amp; ":" &amp; INT(MOD(A135/1000, 60)) &amp; "." &amp; TEXT(INT(MOD(A135/1, 1000)), "000")</f>
        <v>8:44.500</v>
      </c>
      <c r="C135" s="7" t="s">
        <v>12</v>
      </c>
      <c r="D135" s="7" t="s">
        <v>13</v>
      </c>
      <c r="E135" s="8" t="str">
        <f aca="false">INDEX(movelist!B:B, MATCH($D135, movelist!A:A, 0))</f>
        <v>1000</v>
      </c>
      <c r="F135" s="11" t="s">
        <v>15</v>
      </c>
      <c r="G135" s="5" t="n">
        <v>75</v>
      </c>
      <c r="H135" s="5" t="n">
        <v>0</v>
      </c>
      <c r="I135" s="5" t="n">
        <v>0.15</v>
      </c>
      <c r="J135" s="8" t="s">
        <v>16</v>
      </c>
    </row>
    <row r="136" customFormat="false" ht="12.75" hidden="false" customHeight="true" outlineLevel="0" collapsed="false">
      <c r="A136" s="12" t="n">
        <f aca="false">A135+4000</f>
        <v>528500</v>
      </c>
      <c r="B136" s="10" t="str">
        <f aca="false">INT(A136/60000) &amp; ":" &amp; INT(MOD(A136/1000, 60)) &amp; "." &amp; TEXT(INT(MOD(A136/1, 1000)), "000")</f>
        <v>8:48.500</v>
      </c>
      <c r="C136" s="7" t="s">
        <v>12</v>
      </c>
      <c r="D136" s="7" t="s">
        <v>13</v>
      </c>
      <c r="E136" s="8" t="str">
        <f aca="false">INDEX(movelist!B:B, MATCH($D136, movelist!A:A, 0))</f>
        <v>1000</v>
      </c>
      <c r="F136" s="11" t="s">
        <v>11</v>
      </c>
      <c r="G136" s="5" t="n">
        <v>75</v>
      </c>
      <c r="H136" s="5" t="n">
        <v>0</v>
      </c>
      <c r="I136" s="5" t="n">
        <v>0</v>
      </c>
      <c r="J136" s="8" t="s">
        <v>14</v>
      </c>
    </row>
    <row r="137" customFormat="false" ht="12.75" hidden="false" customHeight="true" outlineLevel="0" collapsed="false">
      <c r="A137" s="1" t="n">
        <f aca="false">A136 + 4000</f>
        <v>532500</v>
      </c>
      <c r="B137" s="10" t="str">
        <f aca="false">INT(A137/60000) &amp; ":" &amp; INT(MOD(A137/1000, 60)) &amp; "." &amp; TEXT(INT(MOD(A137/1, 1000)), "000")</f>
        <v>8:52.500</v>
      </c>
      <c r="C137" s="7" t="s">
        <v>12</v>
      </c>
      <c r="D137" s="7" t="s">
        <v>13</v>
      </c>
      <c r="E137" s="8" t="str">
        <f aca="false">INDEX(movelist!B:B, MATCH($D137, movelist!A:A, 0))</f>
        <v>1000</v>
      </c>
      <c r="F137" s="11" t="s">
        <v>15</v>
      </c>
      <c r="G137" s="5" t="n">
        <v>75</v>
      </c>
      <c r="H137" s="5" t="n">
        <v>0</v>
      </c>
      <c r="I137" s="5" t="n">
        <v>0.15</v>
      </c>
      <c r="J137" s="8" t="s">
        <v>16</v>
      </c>
    </row>
    <row r="138" customFormat="false" ht="12.75" hidden="false" customHeight="true" outlineLevel="0" collapsed="false">
      <c r="A138" s="12" t="n">
        <f aca="false">A137+4000</f>
        <v>536500</v>
      </c>
      <c r="B138" s="10" t="str">
        <f aca="false">INT(A138/60000) &amp; ":" &amp; INT(MOD(A138/1000, 60)) &amp; "." &amp; TEXT(INT(MOD(A138/1, 1000)), "000")</f>
        <v>8:56.500</v>
      </c>
      <c r="C138" s="7" t="s">
        <v>12</v>
      </c>
      <c r="D138" s="7" t="s">
        <v>13</v>
      </c>
      <c r="E138" s="8" t="str">
        <f aca="false">INDEX(movelist!B:B, MATCH($D138, movelist!A:A, 0))</f>
        <v>1000</v>
      </c>
      <c r="F138" s="11" t="s">
        <v>11</v>
      </c>
      <c r="G138" s="5" t="n">
        <v>75</v>
      </c>
      <c r="H138" s="5" t="n">
        <v>0</v>
      </c>
      <c r="I138" s="5" t="n">
        <v>0</v>
      </c>
      <c r="J138" s="8" t="s">
        <v>14</v>
      </c>
    </row>
    <row r="139" customFormat="false" ht="12.75" hidden="false" customHeight="true" outlineLevel="0" collapsed="false">
      <c r="A139" s="1" t="n">
        <f aca="false">A138 + 4000</f>
        <v>540500</v>
      </c>
      <c r="B139" s="10" t="str">
        <f aca="false">INT(A139/60000) &amp; ":" &amp; INT(MOD(A139/1000, 60)) &amp; "." &amp; TEXT(INT(MOD(A139/1, 1000)), "000")</f>
        <v>9:0.500</v>
      </c>
      <c r="C139" s="7" t="s">
        <v>12</v>
      </c>
      <c r="D139" s="7" t="s">
        <v>13</v>
      </c>
      <c r="E139" s="8" t="str">
        <f aca="false">INDEX(movelist!B:B, MATCH($D139, movelist!A:A, 0))</f>
        <v>1000</v>
      </c>
      <c r="F139" s="11" t="s">
        <v>15</v>
      </c>
      <c r="G139" s="5" t="n">
        <v>75</v>
      </c>
      <c r="H139" s="5" t="n">
        <v>0</v>
      </c>
      <c r="I139" s="5" t="n">
        <v>0.15</v>
      </c>
      <c r="J139" s="8" t="s">
        <v>16</v>
      </c>
    </row>
    <row r="140" customFormat="false" ht="12.75" hidden="false" customHeight="true" outlineLevel="0" collapsed="false">
      <c r="A140" s="12" t="n">
        <f aca="false">A139+4000</f>
        <v>544500</v>
      </c>
      <c r="B140" s="10" t="str">
        <f aca="false">INT(A140/60000) &amp; ":" &amp; INT(MOD(A140/1000, 60)) &amp; "." &amp; TEXT(INT(MOD(A140/1, 1000)), "000")</f>
        <v>9:4.500</v>
      </c>
      <c r="C140" s="7" t="s">
        <v>12</v>
      </c>
      <c r="D140" s="7" t="s">
        <v>13</v>
      </c>
      <c r="E140" s="8" t="str">
        <f aca="false">INDEX(movelist!B:B, MATCH($D140, movelist!A:A, 0))</f>
        <v>1000</v>
      </c>
      <c r="F140" s="11" t="s">
        <v>11</v>
      </c>
      <c r="G140" s="5" t="n">
        <v>75</v>
      </c>
      <c r="H140" s="5" t="n">
        <v>0</v>
      </c>
      <c r="I140" s="5" t="n">
        <v>0</v>
      </c>
      <c r="J140" s="8" t="s">
        <v>14</v>
      </c>
    </row>
    <row r="141" customFormat="false" ht="12.75" hidden="false" customHeight="true" outlineLevel="0" collapsed="false">
      <c r="A141" s="1" t="n">
        <f aca="false">A140 + 4000</f>
        <v>548500</v>
      </c>
      <c r="B141" s="10" t="str">
        <f aca="false">INT(A141/60000) &amp; ":" &amp; INT(MOD(A141/1000, 60)) &amp; "." &amp; TEXT(INT(MOD(A141/1, 1000)), "000")</f>
        <v>9:8.500</v>
      </c>
      <c r="C141" s="7" t="s">
        <v>12</v>
      </c>
      <c r="D141" s="7" t="s">
        <v>13</v>
      </c>
      <c r="E141" s="8" t="str">
        <f aca="false">INDEX(movelist!B:B, MATCH($D141, movelist!A:A, 0))</f>
        <v>1000</v>
      </c>
      <c r="F141" s="11" t="s">
        <v>15</v>
      </c>
      <c r="G141" s="5" t="n">
        <v>75</v>
      </c>
      <c r="H141" s="5" t="n">
        <v>0</v>
      </c>
      <c r="I141" s="5" t="n">
        <v>0.15</v>
      </c>
      <c r="J141" s="8" t="s">
        <v>16</v>
      </c>
    </row>
    <row r="142" customFormat="false" ht="12.75" hidden="false" customHeight="true" outlineLevel="0" collapsed="false">
      <c r="A142" s="12" t="n">
        <f aca="false">A141+4000</f>
        <v>552500</v>
      </c>
      <c r="B142" s="10" t="str">
        <f aca="false">INT(A142/60000) &amp; ":" &amp; INT(MOD(A142/1000, 60)) &amp; "." &amp; TEXT(INT(MOD(A142/1, 1000)), "000")</f>
        <v>9:12.500</v>
      </c>
      <c r="C142" s="7" t="s">
        <v>12</v>
      </c>
      <c r="D142" s="7" t="s">
        <v>13</v>
      </c>
      <c r="E142" s="8" t="str">
        <f aca="false">INDEX(movelist!B:B, MATCH($D142, movelist!A:A, 0))</f>
        <v>1000</v>
      </c>
      <c r="F142" s="11" t="s">
        <v>11</v>
      </c>
      <c r="G142" s="5" t="n">
        <v>75</v>
      </c>
      <c r="H142" s="5" t="n">
        <v>0</v>
      </c>
      <c r="I142" s="5" t="n">
        <v>0</v>
      </c>
      <c r="J142" s="8" t="s">
        <v>14</v>
      </c>
    </row>
    <row r="143" customFormat="false" ht="12.75" hidden="false" customHeight="true" outlineLevel="0" collapsed="false">
      <c r="A143" s="1" t="n">
        <f aca="false">A142 + 4000</f>
        <v>556500</v>
      </c>
      <c r="B143" s="10" t="str">
        <f aca="false">INT(A143/60000) &amp; ":" &amp; INT(MOD(A143/1000, 60)) &amp; "." &amp; TEXT(INT(MOD(A143/1, 1000)), "000")</f>
        <v>9:16.500</v>
      </c>
      <c r="C143" s="7" t="s">
        <v>12</v>
      </c>
      <c r="D143" s="7" t="s">
        <v>13</v>
      </c>
      <c r="E143" s="8" t="str">
        <f aca="false">INDEX(movelist!B:B, MATCH($D143, movelist!A:A, 0))</f>
        <v>1000</v>
      </c>
      <c r="F143" s="11" t="s">
        <v>15</v>
      </c>
      <c r="G143" s="5" t="n">
        <v>75</v>
      </c>
      <c r="H143" s="5" t="n">
        <v>0</v>
      </c>
      <c r="I143" s="5" t="n">
        <v>0.15</v>
      </c>
      <c r="J143" s="8" t="s">
        <v>16</v>
      </c>
    </row>
    <row r="144" customFormat="false" ht="12.75" hidden="false" customHeight="true" outlineLevel="0" collapsed="false">
      <c r="A144" s="12" t="n">
        <f aca="false">A143+4000</f>
        <v>560500</v>
      </c>
      <c r="B144" s="10" t="str">
        <f aca="false">INT(A144/60000) &amp; ":" &amp; INT(MOD(A144/1000, 60)) &amp; "." &amp; TEXT(INT(MOD(A144/1, 1000)), "000")</f>
        <v>9:20.500</v>
      </c>
      <c r="C144" s="7" t="s">
        <v>12</v>
      </c>
      <c r="D144" s="7" t="s">
        <v>13</v>
      </c>
      <c r="E144" s="8" t="str">
        <f aca="false">INDEX(movelist!B:B, MATCH($D144, movelist!A:A, 0))</f>
        <v>1000</v>
      </c>
      <c r="F144" s="11" t="s">
        <v>11</v>
      </c>
      <c r="G144" s="5" t="n">
        <v>75</v>
      </c>
      <c r="H144" s="5" t="n">
        <v>0</v>
      </c>
      <c r="I144" s="5" t="n">
        <v>0</v>
      </c>
      <c r="J144" s="8" t="s">
        <v>14</v>
      </c>
    </row>
    <row r="145" customFormat="false" ht="12.75" hidden="false" customHeight="true" outlineLevel="0" collapsed="false">
      <c r="A145" s="1" t="n">
        <f aca="false">A144 + 4000</f>
        <v>564500</v>
      </c>
      <c r="B145" s="10" t="str">
        <f aca="false">INT(A145/60000) &amp; ":" &amp; INT(MOD(A145/1000, 60)) &amp; "." &amp; TEXT(INT(MOD(A145/1, 1000)), "000")</f>
        <v>9:24.500</v>
      </c>
      <c r="C145" s="7" t="s">
        <v>12</v>
      </c>
      <c r="D145" s="7" t="s">
        <v>13</v>
      </c>
      <c r="E145" s="8" t="str">
        <f aca="false">INDEX(movelist!B:B, MATCH($D145, movelist!A:A, 0))</f>
        <v>1000</v>
      </c>
      <c r="F145" s="11" t="s">
        <v>15</v>
      </c>
      <c r="G145" s="5" t="n">
        <v>75</v>
      </c>
      <c r="H145" s="5" t="n">
        <v>0</v>
      </c>
      <c r="I145" s="5" t="n">
        <v>0.15</v>
      </c>
      <c r="J145" s="8" t="s">
        <v>16</v>
      </c>
    </row>
    <row r="146" customFormat="false" ht="12.75" hidden="false" customHeight="true" outlineLevel="0" collapsed="false">
      <c r="A146" s="12" t="n">
        <f aca="false">A145+4000</f>
        <v>568500</v>
      </c>
      <c r="B146" s="10" t="str">
        <f aca="false">INT(A146/60000) &amp; ":" &amp; INT(MOD(A146/1000, 60)) &amp; "." &amp; TEXT(INT(MOD(A146/1, 1000)), "000")</f>
        <v>9:28.500</v>
      </c>
      <c r="C146" s="7" t="s">
        <v>12</v>
      </c>
      <c r="D146" s="7" t="s">
        <v>13</v>
      </c>
      <c r="E146" s="8" t="str">
        <f aca="false">INDEX(movelist!B:B, MATCH($D146, movelist!A:A, 0))</f>
        <v>1000</v>
      </c>
      <c r="F146" s="11" t="s">
        <v>11</v>
      </c>
      <c r="G146" s="5" t="n">
        <v>75</v>
      </c>
      <c r="H146" s="5" t="n">
        <v>0</v>
      </c>
      <c r="I146" s="5" t="n">
        <v>0</v>
      </c>
      <c r="J146" s="8" t="s">
        <v>14</v>
      </c>
    </row>
    <row r="147" customFormat="false" ht="12.75" hidden="false" customHeight="true" outlineLevel="0" collapsed="false">
      <c r="A147" s="1" t="n">
        <f aca="false">A146 + 4000</f>
        <v>572500</v>
      </c>
      <c r="B147" s="10" t="str">
        <f aca="false">INT(A147/60000) &amp; ":" &amp; INT(MOD(A147/1000, 60)) &amp; "." &amp; TEXT(INT(MOD(A147/1, 1000)), "000")</f>
        <v>9:32.500</v>
      </c>
      <c r="C147" s="7" t="s">
        <v>12</v>
      </c>
      <c r="D147" s="7" t="s">
        <v>13</v>
      </c>
      <c r="E147" s="8" t="str">
        <f aca="false">INDEX(movelist!B:B, MATCH($D147, movelist!A:A, 0))</f>
        <v>1000</v>
      </c>
      <c r="F147" s="11" t="s">
        <v>15</v>
      </c>
      <c r="G147" s="5" t="n">
        <v>75</v>
      </c>
      <c r="H147" s="5" t="n">
        <v>0</v>
      </c>
      <c r="I147" s="5" t="n">
        <v>0.15</v>
      </c>
      <c r="J147" s="8" t="s">
        <v>16</v>
      </c>
    </row>
    <row r="148" customFormat="false" ht="12.75" hidden="false" customHeight="true" outlineLevel="0" collapsed="false">
      <c r="A148" s="12" t="n">
        <f aca="false">A147+4000</f>
        <v>576500</v>
      </c>
      <c r="B148" s="10" t="str">
        <f aca="false">INT(A148/60000) &amp; ":" &amp; INT(MOD(A148/1000, 60)) &amp; "." &amp; TEXT(INT(MOD(A148/1, 1000)), "000")</f>
        <v>9:36.500</v>
      </c>
      <c r="C148" s="7" t="s">
        <v>12</v>
      </c>
      <c r="D148" s="7" t="s">
        <v>13</v>
      </c>
      <c r="E148" s="8" t="str">
        <f aca="false">INDEX(movelist!B:B, MATCH($D148, movelist!A:A, 0))</f>
        <v>1000</v>
      </c>
      <c r="F148" s="11" t="s">
        <v>11</v>
      </c>
      <c r="G148" s="5" t="n">
        <v>75</v>
      </c>
      <c r="H148" s="5" t="n">
        <v>0</v>
      </c>
      <c r="I148" s="5" t="n">
        <v>0</v>
      </c>
      <c r="J148" s="8" t="s">
        <v>14</v>
      </c>
    </row>
    <row r="149" customFormat="false" ht="12.75" hidden="false" customHeight="true" outlineLevel="0" collapsed="false">
      <c r="A149" s="1" t="n">
        <f aca="false">A148 + 4000</f>
        <v>580500</v>
      </c>
      <c r="B149" s="10" t="str">
        <f aca="false">INT(A149/60000) &amp; ":" &amp; INT(MOD(A149/1000, 60)) &amp; "." &amp; TEXT(INT(MOD(A149/1, 1000)), "000")</f>
        <v>9:40.500</v>
      </c>
      <c r="C149" s="7" t="s">
        <v>12</v>
      </c>
      <c r="D149" s="7" t="s">
        <v>13</v>
      </c>
      <c r="E149" s="8" t="str">
        <f aca="false">INDEX(movelist!B:B, MATCH($D149, movelist!A:A, 0))</f>
        <v>1000</v>
      </c>
      <c r="F149" s="11" t="s">
        <v>15</v>
      </c>
      <c r="G149" s="5" t="n">
        <v>75</v>
      </c>
      <c r="H149" s="5" t="n">
        <v>0</v>
      </c>
      <c r="I149" s="5" t="n">
        <v>0.15</v>
      </c>
      <c r="J149" s="8" t="s">
        <v>16</v>
      </c>
    </row>
    <row r="150" customFormat="false" ht="12.75" hidden="false" customHeight="true" outlineLevel="0" collapsed="false">
      <c r="A150" s="12" t="n">
        <f aca="false">A149+4000</f>
        <v>584500</v>
      </c>
      <c r="B150" s="10" t="str">
        <f aca="false">INT(A150/60000) &amp; ":" &amp; INT(MOD(A150/1000, 60)) &amp; "." &amp; TEXT(INT(MOD(A150/1, 1000)), "000")</f>
        <v>9:44.500</v>
      </c>
      <c r="C150" s="7" t="s">
        <v>12</v>
      </c>
      <c r="D150" s="7" t="s">
        <v>13</v>
      </c>
      <c r="E150" s="8" t="str">
        <f aca="false">INDEX(movelist!B:B, MATCH($D150, movelist!A:A, 0))</f>
        <v>1000</v>
      </c>
      <c r="F150" s="11" t="s">
        <v>11</v>
      </c>
      <c r="G150" s="5" t="n">
        <v>75</v>
      </c>
      <c r="H150" s="5" t="n">
        <v>0</v>
      </c>
      <c r="I150" s="5" t="n">
        <v>0</v>
      </c>
      <c r="J150" s="8" t="s">
        <v>14</v>
      </c>
    </row>
    <row r="151" customFormat="false" ht="12.75" hidden="false" customHeight="true" outlineLevel="0" collapsed="false">
      <c r="A151" s="1" t="n">
        <f aca="false">A150 + 4000</f>
        <v>588500</v>
      </c>
      <c r="B151" s="10" t="str">
        <f aca="false">INT(A151/60000) &amp; ":" &amp; INT(MOD(A151/1000, 60)) &amp; "." &amp; TEXT(INT(MOD(A151/1, 1000)), "000")</f>
        <v>9:48.500</v>
      </c>
      <c r="C151" s="7" t="s">
        <v>12</v>
      </c>
      <c r="D151" s="7" t="s">
        <v>13</v>
      </c>
      <c r="E151" s="8" t="str">
        <f aca="false">INDEX(movelist!B:B, MATCH($D151, movelist!A:A, 0))</f>
        <v>1000</v>
      </c>
      <c r="F151" s="11" t="s">
        <v>15</v>
      </c>
      <c r="G151" s="5" t="n">
        <v>75</v>
      </c>
      <c r="H151" s="5" t="n">
        <v>0</v>
      </c>
      <c r="I151" s="5" t="n">
        <v>0.15</v>
      </c>
      <c r="J151" s="8" t="s">
        <v>16</v>
      </c>
    </row>
    <row r="152" customFormat="false" ht="12.75" hidden="false" customHeight="true" outlineLevel="0" collapsed="false">
      <c r="A152" s="12" t="n">
        <f aca="false">A151+4000</f>
        <v>592500</v>
      </c>
      <c r="B152" s="10" t="str">
        <f aca="false">INT(A152/60000) &amp; ":" &amp; INT(MOD(A152/1000, 60)) &amp; "." &amp; TEXT(INT(MOD(A152/1, 1000)), "000")</f>
        <v>9:52.500</v>
      </c>
      <c r="C152" s="7" t="s">
        <v>12</v>
      </c>
      <c r="D152" s="7" t="s">
        <v>13</v>
      </c>
      <c r="E152" s="8" t="str">
        <f aca="false">INDEX(movelist!B:B, MATCH($D152, movelist!A:A, 0))</f>
        <v>1000</v>
      </c>
      <c r="F152" s="11" t="s">
        <v>11</v>
      </c>
      <c r="G152" s="5" t="n">
        <v>75</v>
      </c>
      <c r="H152" s="5" t="n">
        <v>0</v>
      </c>
      <c r="I152" s="5" t="n">
        <v>0</v>
      </c>
      <c r="J152" s="8" t="s">
        <v>14</v>
      </c>
    </row>
    <row r="153" customFormat="false" ht="12.75" hidden="false" customHeight="true" outlineLevel="0" collapsed="false">
      <c r="A153" s="1" t="n">
        <f aca="false">A152 + 4000</f>
        <v>596500</v>
      </c>
      <c r="B153" s="10" t="str">
        <f aca="false">INT(A153/60000) &amp; ":" &amp; INT(MOD(A153/1000, 60)) &amp; "." &amp; TEXT(INT(MOD(A153/1, 1000)), "000")</f>
        <v>9:56.500</v>
      </c>
      <c r="C153" s="7" t="s">
        <v>12</v>
      </c>
      <c r="D153" s="7" t="s">
        <v>13</v>
      </c>
      <c r="E153" s="8" t="str">
        <f aca="false">INDEX(movelist!B:B, MATCH($D153, movelist!A:A, 0))</f>
        <v>1000</v>
      </c>
      <c r="F153" s="11" t="s">
        <v>15</v>
      </c>
      <c r="G153" s="5" t="n">
        <v>75</v>
      </c>
      <c r="H153" s="5" t="n">
        <v>0</v>
      </c>
      <c r="I153" s="5" t="n">
        <v>0.15</v>
      </c>
      <c r="J153" s="8" t="s">
        <v>16</v>
      </c>
    </row>
    <row r="154" customFormat="false" ht="12.75" hidden="false" customHeight="true" outlineLevel="0" collapsed="false">
      <c r="A154" s="12" t="n">
        <f aca="false">A153+4000</f>
        <v>600500</v>
      </c>
      <c r="B154" s="10" t="str">
        <f aca="false">INT(A154/60000) &amp; ":" &amp; INT(MOD(A154/1000, 60)) &amp; "." &amp; TEXT(INT(MOD(A154/1, 1000)), "000")</f>
        <v>10:0.500</v>
      </c>
      <c r="C154" s="7" t="s">
        <v>12</v>
      </c>
      <c r="D154" s="7" t="s">
        <v>13</v>
      </c>
      <c r="E154" s="8" t="str">
        <f aca="false">INDEX(movelist!B:B, MATCH($D154, movelist!A:A, 0))</f>
        <v>1000</v>
      </c>
      <c r="F154" s="11" t="s">
        <v>11</v>
      </c>
      <c r="G154" s="5" t="n">
        <v>75</v>
      </c>
      <c r="H154" s="5" t="n">
        <v>0</v>
      </c>
      <c r="I154" s="5" t="n">
        <v>0</v>
      </c>
      <c r="J154" s="8" t="s">
        <v>14</v>
      </c>
    </row>
    <row r="155" customFormat="false" ht="12.75" hidden="false" customHeight="true" outlineLevel="0" collapsed="false">
      <c r="A155" s="1" t="n">
        <f aca="false">A154 + 4000</f>
        <v>604500</v>
      </c>
      <c r="B155" s="10" t="str">
        <f aca="false">INT(A155/60000) &amp; ":" &amp; INT(MOD(A155/1000, 60)) &amp; "." &amp; TEXT(INT(MOD(A155/1, 1000)), "000")</f>
        <v>10:4.500</v>
      </c>
      <c r="C155" s="7" t="s">
        <v>12</v>
      </c>
      <c r="D155" s="7" t="s">
        <v>13</v>
      </c>
      <c r="E155" s="8" t="str">
        <f aca="false">INDEX(movelist!B:B, MATCH($D155, movelist!A:A, 0))</f>
        <v>1000</v>
      </c>
      <c r="F155" s="11" t="s">
        <v>15</v>
      </c>
      <c r="G155" s="5" t="n">
        <v>75</v>
      </c>
      <c r="H155" s="5" t="n">
        <v>0</v>
      </c>
      <c r="I155" s="5" t="n">
        <v>0.15</v>
      </c>
      <c r="J155" s="8" t="s">
        <v>16</v>
      </c>
    </row>
    <row r="156" customFormat="false" ht="12.75" hidden="false" customHeight="true" outlineLevel="0" collapsed="false">
      <c r="A156" s="12" t="n">
        <f aca="false">A155+4000</f>
        <v>608500</v>
      </c>
      <c r="B156" s="10" t="str">
        <f aca="false">INT(A156/60000) &amp; ":" &amp; INT(MOD(A156/1000, 60)) &amp; "." &amp; TEXT(INT(MOD(A156/1, 1000)), "000")</f>
        <v>10:8.500</v>
      </c>
      <c r="C156" s="7" t="s">
        <v>12</v>
      </c>
      <c r="D156" s="7" t="s">
        <v>13</v>
      </c>
      <c r="E156" s="8" t="str">
        <f aca="false">INDEX(movelist!B:B, MATCH($D156, movelist!A:A, 0))</f>
        <v>1000</v>
      </c>
      <c r="F156" s="11" t="s">
        <v>11</v>
      </c>
      <c r="G156" s="5" t="n">
        <v>75</v>
      </c>
      <c r="H156" s="5" t="n">
        <v>0</v>
      </c>
      <c r="I156" s="5" t="n">
        <v>0</v>
      </c>
      <c r="J156" s="8" t="s">
        <v>14</v>
      </c>
    </row>
    <row r="157" customFormat="false" ht="12.75" hidden="false" customHeight="true" outlineLevel="0" collapsed="false">
      <c r="A157" s="1" t="n">
        <f aca="false">A156 + 4000</f>
        <v>612500</v>
      </c>
      <c r="B157" s="10" t="str">
        <f aca="false">INT(A157/60000) &amp; ":" &amp; INT(MOD(A157/1000, 60)) &amp; "." &amp; TEXT(INT(MOD(A157/1, 1000)), "000")</f>
        <v>10:12.500</v>
      </c>
      <c r="C157" s="7" t="s">
        <v>12</v>
      </c>
      <c r="D157" s="7" t="s">
        <v>13</v>
      </c>
      <c r="E157" s="8" t="str">
        <f aca="false">INDEX(movelist!B:B, MATCH($D157, movelist!A:A, 0))</f>
        <v>1000</v>
      </c>
      <c r="F157" s="11" t="s">
        <v>15</v>
      </c>
      <c r="G157" s="5" t="n">
        <v>75</v>
      </c>
      <c r="H157" s="5" t="n">
        <v>0</v>
      </c>
      <c r="I157" s="5" t="n">
        <v>0.15</v>
      </c>
      <c r="J157" s="8" t="s">
        <v>16</v>
      </c>
    </row>
    <row r="158" customFormat="false" ht="12.75" hidden="false" customHeight="true" outlineLevel="0" collapsed="false">
      <c r="A158" s="12" t="n">
        <f aca="false">A157+4000</f>
        <v>616500</v>
      </c>
      <c r="B158" s="10" t="str">
        <f aca="false">INT(A158/60000) &amp; ":" &amp; INT(MOD(A158/1000, 60)) &amp; "." &amp; TEXT(INT(MOD(A158/1, 1000)), "000")</f>
        <v>10:16.500</v>
      </c>
      <c r="C158" s="7" t="s">
        <v>12</v>
      </c>
      <c r="D158" s="7" t="s">
        <v>13</v>
      </c>
      <c r="E158" s="8" t="str">
        <f aca="false">INDEX(movelist!B:B, MATCH($D158, movelist!A:A, 0))</f>
        <v>1000</v>
      </c>
      <c r="F158" s="11" t="s">
        <v>11</v>
      </c>
      <c r="G158" s="5" t="n">
        <v>75</v>
      </c>
      <c r="H158" s="5" t="n">
        <v>0</v>
      </c>
      <c r="I158" s="5" t="n">
        <v>0</v>
      </c>
      <c r="J158" s="8" t="s">
        <v>14</v>
      </c>
    </row>
    <row r="159" customFormat="false" ht="12.75" hidden="false" customHeight="true" outlineLevel="0" collapsed="false">
      <c r="A159" s="1" t="n">
        <f aca="false">A158 + 4000</f>
        <v>620500</v>
      </c>
      <c r="B159" s="10" t="str">
        <f aca="false">INT(A159/60000) &amp; ":" &amp; INT(MOD(A159/1000, 60)) &amp; "." &amp; TEXT(INT(MOD(A159/1, 1000)), "000")</f>
        <v>10:20.500</v>
      </c>
      <c r="C159" s="7" t="s">
        <v>12</v>
      </c>
      <c r="D159" s="7" t="s">
        <v>13</v>
      </c>
      <c r="E159" s="8" t="str">
        <f aca="false">INDEX(movelist!B:B, MATCH($D159, movelist!A:A, 0))</f>
        <v>1000</v>
      </c>
      <c r="F159" s="11" t="s">
        <v>15</v>
      </c>
      <c r="G159" s="5" t="n">
        <v>75</v>
      </c>
      <c r="H159" s="5" t="n">
        <v>0</v>
      </c>
      <c r="I159" s="5" t="n">
        <v>0.15</v>
      </c>
      <c r="J159" s="8" t="s">
        <v>16</v>
      </c>
    </row>
    <row r="160" customFormat="false" ht="12.75" hidden="false" customHeight="true" outlineLevel="0" collapsed="false">
      <c r="A160" s="12" t="n">
        <f aca="false">A159+4000</f>
        <v>624500</v>
      </c>
      <c r="B160" s="10" t="str">
        <f aca="false">INT(A160/60000) &amp; ":" &amp; INT(MOD(A160/1000, 60)) &amp; "." &amp; TEXT(INT(MOD(A160/1, 1000)), "000")</f>
        <v>10:24.500</v>
      </c>
      <c r="C160" s="7" t="s">
        <v>12</v>
      </c>
      <c r="D160" s="7" t="s">
        <v>13</v>
      </c>
      <c r="E160" s="8" t="str">
        <f aca="false">INDEX(movelist!B:B, MATCH($D160, movelist!A:A, 0))</f>
        <v>1000</v>
      </c>
      <c r="F160" s="11" t="s">
        <v>11</v>
      </c>
      <c r="G160" s="5" t="n">
        <v>75</v>
      </c>
      <c r="H160" s="5" t="n">
        <v>0</v>
      </c>
      <c r="I160" s="5" t="n">
        <v>0</v>
      </c>
      <c r="J160" s="8" t="s">
        <v>14</v>
      </c>
    </row>
    <row r="161" customFormat="false" ht="12.75" hidden="false" customHeight="true" outlineLevel="0" collapsed="false">
      <c r="A161" s="1" t="n">
        <f aca="false">A160 + 4000</f>
        <v>628500</v>
      </c>
      <c r="B161" s="10" t="str">
        <f aca="false">INT(A161/60000) &amp; ":" &amp; INT(MOD(A161/1000, 60)) &amp; "." &amp; TEXT(INT(MOD(A161/1, 1000)), "000")</f>
        <v>10:28.500</v>
      </c>
      <c r="C161" s="7" t="s">
        <v>12</v>
      </c>
      <c r="D161" s="7" t="s">
        <v>13</v>
      </c>
      <c r="E161" s="8" t="str">
        <f aca="false">INDEX(movelist!B:B, MATCH($D161, movelist!A:A, 0))</f>
        <v>1000</v>
      </c>
      <c r="F161" s="11" t="s">
        <v>15</v>
      </c>
      <c r="G161" s="5" t="n">
        <v>75</v>
      </c>
      <c r="H161" s="5" t="n">
        <v>0</v>
      </c>
      <c r="I161" s="5" t="n">
        <v>0.15</v>
      </c>
      <c r="J161" s="8" t="s">
        <v>16</v>
      </c>
    </row>
    <row r="162" customFormat="false" ht="12.75" hidden="false" customHeight="true" outlineLevel="0" collapsed="false">
      <c r="A162" s="12" t="n">
        <f aca="false">A161+4000</f>
        <v>632500</v>
      </c>
      <c r="B162" s="10" t="str">
        <f aca="false">INT(A162/60000) &amp; ":" &amp; INT(MOD(A162/1000, 60)) &amp; "." &amp; TEXT(INT(MOD(A162/1, 1000)), "000")</f>
        <v>10:32.500</v>
      </c>
      <c r="C162" s="7" t="s">
        <v>12</v>
      </c>
      <c r="D162" s="7" t="s">
        <v>13</v>
      </c>
      <c r="E162" s="8" t="str">
        <f aca="false">INDEX(movelist!B:B, MATCH($D162, movelist!A:A, 0))</f>
        <v>1000</v>
      </c>
      <c r="F162" s="11" t="s">
        <v>11</v>
      </c>
      <c r="G162" s="5" t="n">
        <v>75</v>
      </c>
      <c r="H162" s="5" t="n">
        <v>0</v>
      </c>
      <c r="I162" s="5" t="n">
        <v>0</v>
      </c>
      <c r="J162" s="8" t="s">
        <v>14</v>
      </c>
    </row>
    <row r="163" customFormat="false" ht="12.75" hidden="false" customHeight="true" outlineLevel="0" collapsed="false">
      <c r="A163" s="1" t="n">
        <f aca="false">A162 + 4000</f>
        <v>636500</v>
      </c>
      <c r="B163" s="10" t="str">
        <f aca="false">INT(A163/60000) &amp; ":" &amp; INT(MOD(A163/1000, 60)) &amp; "." &amp; TEXT(INT(MOD(A163/1, 1000)), "000")</f>
        <v>10:36.500</v>
      </c>
      <c r="C163" s="7" t="s">
        <v>12</v>
      </c>
      <c r="D163" s="7" t="s">
        <v>13</v>
      </c>
      <c r="E163" s="8" t="str">
        <f aca="false">INDEX(movelist!B:B, MATCH($D163, movelist!A:A, 0))</f>
        <v>1000</v>
      </c>
      <c r="F163" s="11" t="s">
        <v>15</v>
      </c>
      <c r="G163" s="5" t="n">
        <v>75</v>
      </c>
      <c r="H163" s="5" t="n">
        <v>0</v>
      </c>
      <c r="I163" s="5" t="n">
        <v>0.15</v>
      </c>
      <c r="J163" s="8" t="s">
        <v>16</v>
      </c>
    </row>
    <row r="164" customFormat="false" ht="12.75" hidden="false" customHeight="true" outlineLevel="0" collapsed="false">
      <c r="A164" s="12" t="n">
        <f aca="false">A163+4000</f>
        <v>640500</v>
      </c>
      <c r="B164" s="10" t="str">
        <f aca="false">INT(A164/60000) &amp; ":" &amp; INT(MOD(A164/1000, 60)) &amp; "." &amp; TEXT(INT(MOD(A164/1, 1000)), "000")</f>
        <v>10:40.500</v>
      </c>
      <c r="C164" s="7" t="s">
        <v>12</v>
      </c>
      <c r="D164" s="7" t="s">
        <v>13</v>
      </c>
      <c r="E164" s="8" t="str">
        <f aca="false">INDEX(movelist!B:B, MATCH($D164, movelist!A:A, 0))</f>
        <v>1000</v>
      </c>
      <c r="F164" s="11" t="s">
        <v>11</v>
      </c>
      <c r="G164" s="5" t="n">
        <v>75</v>
      </c>
      <c r="H164" s="5" t="n">
        <v>0</v>
      </c>
      <c r="I164" s="5" t="n">
        <v>0</v>
      </c>
      <c r="J164" s="8" t="s">
        <v>14</v>
      </c>
    </row>
    <row r="165" customFormat="false" ht="12.75" hidden="false" customHeight="true" outlineLevel="0" collapsed="false">
      <c r="A165" s="1" t="n">
        <f aca="false">A164 + 4000</f>
        <v>644500</v>
      </c>
      <c r="B165" s="10" t="str">
        <f aca="false">INT(A165/60000) &amp; ":" &amp; INT(MOD(A165/1000, 60)) &amp; "." &amp; TEXT(INT(MOD(A165/1, 1000)), "000")</f>
        <v>10:44.500</v>
      </c>
      <c r="C165" s="7" t="s">
        <v>12</v>
      </c>
      <c r="D165" s="7" t="s">
        <v>13</v>
      </c>
      <c r="E165" s="8" t="str">
        <f aca="false">INDEX(movelist!B:B, MATCH($D165, movelist!A:A, 0))</f>
        <v>1000</v>
      </c>
      <c r="F165" s="11" t="s">
        <v>15</v>
      </c>
      <c r="G165" s="5" t="n">
        <v>75</v>
      </c>
      <c r="H165" s="5" t="n">
        <v>0</v>
      </c>
      <c r="I165" s="5" t="n">
        <v>0.15</v>
      </c>
      <c r="J165" s="8" t="s">
        <v>16</v>
      </c>
    </row>
    <row r="166" customFormat="false" ht="12.75" hidden="false" customHeight="true" outlineLevel="0" collapsed="false">
      <c r="A166" s="12" t="n">
        <f aca="false">A165+4000</f>
        <v>648500</v>
      </c>
      <c r="B166" s="10" t="str">
        <f aca="false">INT(A166/60000) &amp; ":" &amp; INT(MOD(A166/1000, 60)) &amp; "." &amp; TEXT(INT(MOD(A166/1, 1000)), "000")</f>
        <v>10:48.500</v>
      </c>
      <c r="C166" s="7" t="s">
        <v>12</v>
      </c>
      <c r="D166" s="7" t="s">
        <v>13</v>
      </c>
      <c r="E166" s="8" t="str">
        <f aca="false">INDEX(movelist!B:B, MATCH($D166, movelist!A:A, 0))</f>
        <v>1000</v>
      </c>
      <c r="F166" s="11" t="s">
        <v>11</v>
      </c>
      <c r="G166" s="5" t="n">
        <v>75</v>
      </c>
      <c r="H166" s="5" t="n">
        <v>0</v>
      </c>
      <c r="I166" s="5" t="n">
        <v>0</v>
      </c>
      <c r="J166" s="8" t="s">
        <v>14</v>
      </c>
    </row>
    <row r="167" customFormat="false" ht="12.75" hidden="false" customHeight="true" outlineLevel="0" collapsed="false">
      <c r="A167" s="1" t="n">
        <f aca="false">A166 + 4000</f>
        <v>652500</v>
      </c>
      <c r="B167" s="10" t="str">
        <f aca="false">INT(A167/60000) &amp; ":" &amp; INT(MOD(A167/1000, 60)) &amp; "." &amp; TEXT(INT(MOD(A167/1, 1000)), "000")</f>
        <v>10:52.500</v>
      </c>
      <c r="C167" s="7" t="s">
        <v>12</v>
      </c>
      <c r="D167" s="7" t="s">
        <v>13</v>
      </c>
      <c r="E167" s="8" t="str">
        <f aca="false">INDEX(movelist!B:B, MATCH($D167, movelist!A:A, 0))</f>
        <v>1000</v>
      </c>
      <c r="F167" s="11" t="s">
        <v>15</v>
      </c>
      <c r="G167" s="5" t="n">
        <v>75</v>
      </c>
      <c r="H167" s="5" t="n">
        <v>0</v>
      </c>
      <c r="I167" s="5" t="n">
        <v>0.15</v>
      </c>
      <c r="J167" s="8" t="s">
        <v>16</v>
      </c>
    </row>
    <row r="168" customFormat="false" ht="12.75" hidden="false" customHeight="true" outlineLevel="0" collapsed="false">
      <c r="A168" s="12" t="n">
        <f aca="false">A167+4000</f>
        <v>656500</v>
      </c>
      <c r="B168" s="10" t="str">
        <f aca="false">INT(A168/60000) &amp; ":" &amp; INT(MOD(A168/1000, 60)) &amp; "." &amp; TEXT(INT(MOD(A168/1, 1000)), "000")</f>
        <v>10:56.500</v>
      </c>
      <c r="C168" s="7" t="s">
        <v>12</v>
      </c>
      <c r="D168" s="7" t="s">
        <v>13</v>
      </c>
      <c r="E168" s="8" t="str">
        <f aca="false">INDEX(movelist!B:B, MATCH($D168, movelist!A:A, 0))</f>
        <v>1000</v>
      </c>
      <c r="F168" s="11" t="s">
        <v>11</v>
      </c>
      <c r="G168" s="5" t="n">
        <v>75</v>
      </c>
      <c r="H168" s="5" t="n">
        <v>0</v>
      </c>
      <c r="I168" s="5" t="n">
        <v>0</v>
      </c>
      <c r="J168" s="8" t="s">
        <v>14</v>
      </c>
    </row>
    <row r="169" customFormat="false" ht="12.75" hidden="false" customHeight="true" outlineLevel="0" collapsed="false">
      <c r="A169" s="1" t="n">
        <f aca="false">A168 + 4000</f>
        <v>660500</v>
      </c>
      <c r="B169" s="10" t="str">
        <f aca="false">INT(A169/60000) &amp; ":" &amp; INT(MOD(A169/1000, 60)) &amp; "." &amp; TEXT(INT(MOD(A169/1, 1000)), "000")</f>
        <v>11:0.500</v>
      </c>
      <c r="C169" s="7" t="s">
        <v>12</v>
      </c>
      <c r="D169" s="7" t="s">
        <v>13</v>
      </c>
      <c r="E169" s="8" t="str">
        <f aca="false">INDEX(movelist!B:B, MATCH($D169, movelist!A:A, 0))</f>
        <v>1000</v>
      </c>
      <c r="F169" s="11" t="s">
        <v>15</v>
      </c>
      <c r="G169" s="5" t="n">
        <v>75</v>
      </c>
      <c r="H169" s="5" t="n">
        <v>0</v>
      </c>
      <c r="I169" s="5" t="n">
        <v>0.15</v>
      </c>
      <c r="J169" s="8" t="s">
        <v>16</v>
      </c>
    </row>
    <row r="170" customFormat="false" ht="12.75" hidden="false" customHeight="true" outlineLevel="0" collapsed="false">
      <c r="A170" s="12" t="n">
        <f aca="false">A169+4000</f>
        <v>664500</v>
      </c>
      <c r="B170" s="10" t="str">
        <f aca="false">INT(A170/60000) &amp; ":" &amp; INT(MOD(A170/1000, 60)) &amp; "." &amp; TEXT(INT(MOD(A170/1, 1000)), "000")</f>
        <v>11:4.500</v>
      </c>
      <c r="C170" s="7" t="s">
        <v>12</v>
      </c>
      <c r="D170" s="7" t="s">
        <v>13</v>
      </c>
      <c r="E170" s="8" t="str">
        <f aca="false">INDEX(movelist!B:B, MATCH($D170, movelist!A:A, 0))</f>
        <v>1000</v>
      </c>
      <c r="F170" s="11" t="s">
        <v>11</v>
      </c>
      <c r="G170" s="5" t="n">
        <v>75</v>
      </c>
      <c r="H170" s="5" t="n">
        <v>0</v>
      </c>
      <c r="I170" s="5" t="n">
        <v>0</v>
      </c>
      <c r="J170" s="8" t="s">
        <v>14</v>
      </c>
    </row>
    <row r="171" customFormat="false" ht="12.75" hidden="false" customHeight="true" outlineLevel="0" collapsed="false">
      <c r="A171" s="1" t="n">
        <f aca="false">A170 + 4000</f>
        <v>668500</v>
      </c>
      <c r="B171" s="10" t="str">
        <f aca="false">INT(A171/60000) &amp; ":" &amp; INT(MOD(A171/1000, 60)) &amp; "." &amp; TEXT(INT(MOD(A171/1, 1000)), "000")</f>
        <v>11:8.500</v>
      </c>
      <c r="C171" s="7" t="s">
        <v>12</v>
      </c>
      <c r="D171" s="7" t="s">
        <v>13</v>
      </c>
      <c r="E171" s="8" t="str">
        <f aca="false">INDEX(movelist!B:B, MATCH($D171, movelist!A:A, 0))</f>
        <v>1000</v>
      </c>
      <c r="F171" s="11" t="s">
        <v>15</v>
      </c>
      <c r="G171" s="5" t="n">
        <v>75</v>
      </c>
      <c r="H171" s="5" t="n">
        <v>0</v>
      </c>
      <c r="I171" s="5" t="n">
        <v>0.15</v>
      </c>
      <c r="J171" s="8" t="s">
        <v>16</v>
      </c>
    </row>
    <row r="172" customFormat="false" ht="12.75" hidden="false" customHeight="true" outlineLevel="0" collapsed="false">
      <c r="A172" s="12" t="n">
        <f aca="false">A171+4000</f>
        <v>672500</v>
      </c>
      <c r="B172" s="10" t="str">
        <f aca="false">INT(A172/60000) &amp; ":" &amp; INT(MOD(A172/1000, 60)) &amp; "." &amp; TEXT(INT(MOD(A172/1, 1000)), "000")</f>
        <v>11:12.500</v>
      </c>
      <c r="C172" s="7" t="s">
        <v>12</v>
      </c>
      <c r="D172" s="7" t="s">
        <v>13</v>
      </c>
      <c r="E172" s="8" t="str">
        <f aca="false">INDEX(movelist!B:B, MATCH($D172, movelist!A:A, 0))</f>
        <v>1000</v>
      </c>
      <c r="F172" s="11" t="s">
        <v>11</v>
      </c>
      <c r="G172" s="5" t="n">
        <v>75</v>
      </c>
      <c r="H172" s="5" t="n">
        <v>0</v>
      </c>
      <c r="I172" s="5" t="n">
        <v>0</v>
      </c>
      <c r="J172" s="8" t="s">
        <v>14</v>
      </c>
    </row>
    <row r="173" customFormat="false" ht="12.75" hidden="false" customHeight="true" outlineLevel="0" collapsed="false">
      <c r="A173" s="1" t="n">
        <f aca="false">A172 + 4000</f>
        <v>676500</v>
      </c>
      <c r="B173" s="10" t="str">
        <f aca="false">INT(A173/60000) &amp; ":" &amp; INT(MOD(A173/1000, 60)) &amp; "." &amp; TEXT(INT(MOD(A173/1, 1000)), "000")</f>
        <v>11:16.500</v>
      </c>
      <c r="C173" s="7" t="s">
        <v>12</v>
      </c>
      <c r="D173" s="7" t="s">
        <v>13</v>
      </c>
      <c r="E173" s="8" t="str">
        <f aca="false">INDEX(movelist!B:B, MATCH($D173, movelist!A:A, 0))</f>
        <v>1000</v>
      </c>
      <c r="F173" s="11" t="s">
        <v>15</v>
      </c>
      <c r="G173" s="5" t="n">
        <v>75</v>
      </c>
      <c r="H173" s="5" t="n">
        <v>0</v>
      </c>
      <c r="I173" s="5" t="n">
        <v>0.15</v>
      </c>
      <c r="J173" s="8" t="s">
        <v>16</v>
      </c>
    </row>
    <row r="174" customFormat="false" ht="12.75" hidden="false" customHeight="true" outlineLevel="0" collapsed="false">
      <c r="A174" s="12" t="n">
        <f aca="false">A173+4000</f>
        <v>680500</v>
      </c>
      <c r="B174" s="10" t="str">
        <f aca="false">INT(A174/60000) &amp; ":" &amp; INT(MOD(A174/1000, 60)) &amp; "." &amp; TEXT(INT(MOD(A174/1, 1000)), "000")</f>
        <v>11:20.500</v>
      </c>
      <c r="C174" s="7" t="s">
        <v>12</v>
      </c>
      <c r="D174" s="7" t="s">
        <v>13</v>
      </c>
      <c r="E174" s="8" t="str">
        <f aca="false">INDEX(movelist!B:B, MATCH($D174, movelist!A:A, 0))</f>
        <v>1000</v>
      </c>
      <c r="F174" s="11" t="s">
        <v>11</v>
      </c>
      <c r="G174" s="5" t="n">
        <v>75</v>
      </c>
      <c r="H174" s="5" t="n">
        <v>0</v>
      </c>
      <c r="I174" s="5" t="n">
        <v>0</v>
      </c>
      <c r="J174" s="8" t="s">
        <v>14</v>
      </c>
    </row>
    <row r="175" customFormat="false" ht="12.75" hidden="false" customHeight="true" outlineLevel="0" collapsed="false">
      <c r="A175" s="1" t="n">
        <f aca="false">A174 + 4000</f>
        <v>684500</v>
      </c>
      <c r="B175" s="10" t="str">
        <f aca="false">INT(A175/60000) &amp; ":" &amp; INT(MOD(A175/1000, 60)) &amp; "." &amp; TEXT(INT(MOD(A175/1, 1000)), "000")</f>
        <v>11:24.500</v>
      </c>
      <c r="C175" s="7" t="s">
        <v>12</v>
      </c>
      <c r="D175" s="7" t="s">
        <v>13</v>
      </c>
      <c r="E175" s="8" t="str">
        <f aca="false">INDEX(movelist!B:B, MATCH($D175, movelist!A:A, 0))</f>
        <v>1000</v>
      </c>
      <c r="F175" s="11" t="s">
        <v>15</v>
      </c>
      <c r="G175" s="5" t="n">
        <v>75</v>
      </c>
      <c r="H175" s="5" t="n">
        <v>0</v>
      </c>
      <c r="I175" s="5" t="n">
        <v>0.15</v>
      </c>
      <c r="J175" s="8" t="s">
        <v>16</v>
      </c>
    </row>
    <row r="176" customFormat="false" ht="12.75" hidden="false" customHeight="true" outlineLevel="0" collapsed="false">
      <c r="A176" s="12" t="n">
        <f aca="false">A175+4000</f>
        <v>688500</v>
      </c>
      <c r="B176" s="10" t="str">
        <f aca="false">INT(A176/60000) &amp; ":" &amp; INT(MOD(A176/1000, 60)) &amp; "." &amp; TEXT(INT(MOD(A176/1, 1000)), "000")</f>
        <v>11:28.500</v>
      </c>
      <c r="C176" s="7" t="s">
        <v>12</v>
      </c>
      <c r="D176" s="7" t="s">
        <v>13</v>
      </c>
      <c r="E176" s="8" t="str">
        <f aca="false">INDEX(movelist!B:B, MATCH($D176, movelist!A:A, 0))</f>
        <v>1000</v>
      </c>
      <c r="F176" s="11" t="s">
        <v>11</v>
      </c>
      <c r="G176" s="5" t="n">
        <v>75</v>
      </c>
      <c r="H176" s="5" t="n">
        <v>0</v>
      </c>
      <c r="I176" s="5" t="n">
        <v>0</v>
      </c>
      <c r="J176" s="8" t="s">
        <v>14</v>
      </c>
    </row>
    <row r="177" customFormat="false" ht="12.75" hidden="false" customHeight="true" outlineLevel="0" collapsed="false">
      <c r="A177" s="1" t="n">
        <f aca="false">A176 + 4000</f>
        <v>692500</v>
      </c>
      <c r="B177" s="10" t="str">
        <f aca="false">INT(A177/60000) &amp; ":" &amp; INT(MOD(A177/1000, 60)) &amp; "." &amp; TEXT(INT(MOD(A177/1, 1000)), "000")</f>
        <v>11:32.500</v>
      </c>
      <c r="C177" s="7" t="s">
        <v>12</v>
      </c>
      <c r="D177" s="7" t="s">
        <v>13</v>
      </c>
      <c r="E177" s="8" t="str">
        <f aca="false">INDEX(movelist!B:B, MATCH($D177, movelist!A:A, 0))</f>
        <v>1000</v>
      </c>
      <c r="F177" s="11" t="s">
        <v>15</v>
      </c>
      <c r="G177" s="5" t="n">
        <v>75</v>
      </c>
      <c r="H177" s="5" t="n">
        <v>0</v>
      </c>
      <c r="I177" s="5" t="n">
        <v>0.15</v>
      </c>
      <c r="J177" s="8" t="s">
        <v>16</v>
      </c>
    </row>
    <row r="178" customFormat="false" ht="12.75" hidden="false" customHeight="true" outlineLevel="0" collapsed="false">
      <c r="A178" s="12" t="n">
        <f aca="false">A177+4000</f>
        <v>696500</v>
      </c>
      <c r="B178" s="10" t="str">
        <f aca="false">INT(A178/60000) &amp; ":" &amp; INT(MOD(A178/1000, 60)) &amp; "." &amp; TEXT(INT(MOD(A178/1, 1000)), "000")</f>
        <v>11:36.500</v>
      </c>
      <c r="C178" s="7" t="s">
        <v>12</v>
      </c>
      <c r="D178" s="7" t="s">
        <v>13</v>
      </c>
      <c r="E178" s="8" t="str">
        <f aca="false">INDEX(movelist!B:B, MATCH($D178, movelist!A:A, 0))</f>
        <v>1000</v>
      </c>
      <c r="F178" s="11" t="s">
        <v>11</v>
      </c>
      <c r="G178" s="5" t="n">
        <v>75</v>
      </c>
      <c r="H178" s="5" t="n">
        <v>0</v>
      </c>
      <c r="I178" s="5" t="n">
        <v>0</v>
      </c>
      <c r="J178" s="8" t="s">
        <v>14</v>
      </c>
    </row>
    <row r="179" customFormat="false" ht="12.75" hidden="false" customHeight="true" outlineLevel="0" collapsed="false">
      <c r="A179" s="1" t="n">
        <f aca="false">A178 + 4000</f>
        <v>700500</v>
      </c>
      <c r="B179" s="10" t="str">
        <f aca="false">INT(A179/60000) &amp; ":" &amp; INT(MOD(A179/1000, 60)) &amp; "." &amp; TEXT(INT(MOD(A179/1, 1000)), "000")</f>
        <v>11:40.500</v>
      </c>
      <c r="C179" s="7" t="s">
        <v>12</v>
      </c>
      <c r="D179" s="7" t="s">
        <v>13</v>
      </c>
      <c r="E179" s="8" t="str">
        <f aca="false">INDEX(movelist!B:B, MATCH($D179, movelist!A:A, 0))</f>
        <v>1000</v>
      </c>
      <c r="F179" s="11" t="s">
        <v>15</v>
      </c>
      <c r="G179" s="5" t="n">
        <v>75</v>
      </c>
      <c r="H179" s="5" t="n">
        <v>0</v>
      </c>
      <c r="I179" s="5" t="n">
        <v>0.15</v>
      </c>
      <c r="J179" s="8" t="s">
        <v>16</v>
      </c>
    </row>
    <row r="180" customFormat="false" ht="12.75" hidden="false" customHeight="true" outlineLevel="0" collapsed="false">
      <c r="A180" s="12" t="n">
        <f aca="false">A179+4000</f>
        <v>704500</v>
      </c>
      <c r="B180" s="10" t="str">
        <f aca="false">INT(A180/60000) &amp; ":" &amp; INT(MOD(A180/1000, 60)) &amp; "." &amp; TEXT(INT(MOD(A180/1, 1000)), "000")</f>
        <v>11:44.500</v>
      </c>
      <c r="C180" s="7" t="s">
        <v>12</v>
      </c>
      <c r="D180" s="7" t="s">
        <v>13</v>
      </c>
      <c r="E180" s="8" t="str">
        <f aca="false">INDEX(movelist!B:B, MATCH($D180, movelist!A:A, 0))</f>
        <v>1000</v>
      </c>
      <c r="F180" s="11" t="s">
        <v>11</v>
      </c>
      <c r="G180" s="5" t="n">
        <v>75</v>
      </c>
      <c r="H180" s="5" t="n">
        <v>0</v>
      </c>
      <c r="I180" s="5" t="n">
        <v>0</v>
      </c>
      <c r="J180" s="8" t="s">
        <v>14</v>
      </c>
    </row>
    <row r="181" customFormat="false" ht="12.75" hidden="false" customHeight="true" outlineLevel="0" collapsed="false">
      <c r="A181" s="1" t="n">
        <f aca="false">A180 + 4000</f>
        <v>708500</v>
      </c>
      <c r="B181" s="10" t="str">
        <f aca="false">INT(A181/60000) &amp; ":" &amp; INT(MOD(A181/1000, 60)) &amp; "." &amp; TEXT(INT(MOD(A181/1, 1000)), "000")</f>
        <v>11:48.500</v>
      </c>
      <c r="C181" s="7" t="s">
        <v>12</v>
      </c>
      <c r="D181" s="7" t="s">
        <v>13</v>
      </c>
      <c r="E181" s="8" t="str">
        <f aca="false">INDEX(movelist!B:B, MATCH($D181, movelist!A:A, 0))</f>
        <v>1000</v>
      </c>
      <c r="F181" s="11" t="s">
        <v>15</v>
      </c>
      <c r="G181" s="5" t="n">
        <v>75</v>
      </c>
      <c r="H181" s="5" t="n">
        <v>0</v>
      </c>
      <c r="I181" s="5" t="n">
        <v>0.15</v>
      </c>
      <c r="J181" s="8" t="s">
        <v>16</v>
      </c>
    </row>
    <row r="182" customFormat="false" ht="12.75" hidden="false" customHeight="true" outlineLevel="0" collapsed="false">
      <c r="A182" s="12" t="n">
        <f aca="false">A181+4000</f>
        <v>712500</v>
      </c>
      <c r="B182" s="10" t="str">
        <f aca="false">INT(A182/60000) &amp; ":" &amp; INT(MOD(A182/1000, 60)) &amp; "." &amp; TEXT(INT(MOD(A182/1, 1000)), "000")</f>
        <v>11:52.500</v>
      </c>
      <c r="C182" s="7" t="s">
        <v>12</v>
      </c>
      <c r="D182" s="7" t="s">
        <v>13</v>
      </c>
      <c r="E182" s="8" t="str">
        <f aca="false">INDEX(movelist!B:B, MATCH($D182, movelist!A:A, 0))</f>
        <v>1000</v>
      </c>
      <c r="F182" s="11" t="s">
        <v>11</v>
      </c>
      <c r="G182" s="5" t="n">
        <v>75</v>
      </c>
      <c r="H182" s="5" t="n">
        <v>0</v>
      </c>
      <c r="I182" s="5" t="n">
        <v>0</v>
      </c>
      <c r="J182" s="8" t="s">
        <v>14</v>
      </c>
    </row>
    <row r="183" customFormat="false" ht="12.75" hidden="false" customHeight="true" outlineLevel="0" collapsed="false">
      <c r="A183" s="1" t="n">
        <f aca="false">A182 + 4000</f>
        <v>716500</v>
      </c>
      <c r="B183" s="10" t="str">
        <f aca="false">INT(A183/60000) &amp; ":" &amp; INT(MOD(A183/1000, 60)) &amp; "." &amp; TEXT(INT(MOD(A183/1, 1000)), "000")</f>
        <v>11:56.500</v>
      </c>
      <c r="C183" s="7" t="s">
        <v>12</v>
      </c>
      <c r="D183" s="7" t="s">
        <v>13</v>
      </c>
      <c r="E183" s="8" t="str">
        <f aca="false">INDEX(movelist!B:B, MATCH($D183, movelist!A:A, 0))</f>
        <v>1000</v>
      </c>
      <c r="F183" s="11" t="s">
        <v>15</v>
      </c>
      <c r="G183" s="5" t="n">
        <v>75</v>
      </c>
      <c r="H183" s="5" t="n">
        <v>0</v>
      </c>
      <c r="I183" s="5" t="n">
        <v>0.15</v>
      </c>
      <c r="J183" s="8" t="s">
        <v>16</v>
      </c>
    </row>
    <row r="184" customFormat="false" ht="12.75" hidden="false" customHeight="true" outlineLevel="0" collapsed="false">
      <c r="A184" s="12" t="n">
        <f aca="false">A183+4000</f>
        <v>720500</v>
      </c>
      <c r="B184" s="10" t="str">
        <f aca="false">INT(A184/60000) &amp; ":" &amp; INT(MOD(A184/1000, 60)) &amp; "." &amp; TEXT(INT(MOD(A184/1, 1000)), "000")</f>
        <v>12:0.500</v>
      </c>
      <c r="C184" s="7" t="s">
        <v>12</v>
      </c>
      <c r="D184" s="7" t="s">
        <v>13</v>
      </c>
      <c r="E184" s="8" t="str">
        <f aca="false">INDEX(movelist!B:B, MATCH($D184, movelist!A:A, 0))</f>
        <v>1000</v>
      </c>
      <c r="F184" s="11" t="s">
        <v>11</v>
      </c>
      <c r="G184" s="5" t="n">
        <v>75</v>
      </c>
      <c r="H184" s="5" t="n">
        <v>0</v>
      </c>
      <c r="I184" s="5" t="n">
        <v>0</v>
      </c>
      <c r="J184" s="8" t="s">
        <v>14</v>
      </c>
    </row>
    <row r="185" customFormat="false" ht="12.75" hidden="false" customHeight="true" outlineLevel="0" collapsed="false">
      <c r="A185" s="1" t="n">
        <f aca="false">A184 + 4000</f>
        <v>724500</v>
      </c>
      <c r="B185" s="10" t="str">
        <f aca="false">INT(A185/60000) &amp; ":" &amp; INT(MOD(A185/1000, 60)) &amp; "." &amp; TEXT(INT(MOD(A185/1, 1000)), "000")</f>
        <v>12:4.500</v>
      </c>
      <c r="C185" s="7" t="s">
        <v>12</v>
      </c>
      <c r="D185" s="7" t="s">
        <v>13</v>
      </c>
      <c r="E185" s="8" t="str">
        <f aca="false">INDEX(movelist!B:B, MATCH($D185, movelist!A:A, 0))</f>
        <v>1000</v>
      </c>
      <c r="F185" s="11" t="s">
        <v>15</v>
      </c>
      <c r="G185" s="5" t="n">
        <v>75</v>
      </c>
      <c r="H185" s="5" t="n">
        <v>0</v>
      </c>
      <c r="I185" s="5" t="n">
        <v>0.15</v>
      </c>
      <c r="J185" s="8" t="s">
        <v>16</v>
      </c>
    </row>
    <row r="186" customFormat="false" ht="12.75" hidden="false" customHeight="true" outlineLevel="0" collapsed="false">
      <c r="A186" s="12" t="n">
        <f aca="false">A185+4000</f>
        <v>728500</v>
      </c>
      <c r="B186" s="10" t="str">
        <f aca="false">INT(A186/60000) &amp; ":" &amp; INT(MOD(A186/1000, 60)) &amp; "." &amp; TEXT(INT(MOD(A186/1, 1000)), "000")</f>
        <v>12:8.500</v>
      </c>
      <c r="C186" s="7" t="s">
        <v>12</v>
      </c>
      <c r="D186" s="7" t="s">
        <v>13</v>
      </c>
      <c r="E186" s="8" t="str">
        <f aca="false">INDEX(movelist!B:B, MATCH($D186, movelist!A:A, 0))</f>
        <v>1000</v>
      </c>
      <c r="F186" s="11" t="s">
        <v>11</v>
      </c>
      <c r="G186" s="5" t="n">
        <v>75</v>
      </c>
      <c r="H186" s="5" t="n">
        <v>0</v>
      </c>
      <c r="I186" s="5" t="n">
        <v>0</v>
      </c>
      <c r="J186" s="8" t="s">
        <v>14</v>
      </c>
    </row>
    <row r="187" customFormat="false" ht="12.75" hidden="false" customHeight="true" outlineLevel="0" collapsed="false">
      <c r="A187" s="1" t="n">
        <f aca="false">A186 + 4000</f>
        <v>732500</v>
      </c>
      <c r="B187" s="10" t="str">
        <f aca="false">INT(A187/60000) &amp; ":" &amp; INT(MOD(A187/1000, 60)) &amp; "." &amp; TEXT(INT(MOD(A187/1, 1000)), "000")</f>
        <v>12:12.500</v>
      </c>
      <c r="C187" s="7" t="s">
        <v>12</v>
      </c>
      <c r="D187" s="7" t="s">
        <v>13</v>
      </c>
      <c r="E187" s="8" t="str">
        <f aca="false">INDEX(movelist!B:B, MATCH($D187, movelist!A:A, 0))</f>
        <v>1000</v>
      </c>
      <c r="F187" s="11" t="s">
        <v>15</v>
      </c>
      <c r="G187" s="5" t="n">
        <v>75</v>
      </c>
      <c r="H187" s="5" t="n">
        <v>0</v>
      </c>
      <c r="I187" s="5" t="n">
        <v>0.15</v>
      </c>
      <c r="J187" s="8" t="s">
        <v>16</v>
      </c>
    </row>
    <row r="188" customFormat="false" ht="12.75" hidden="false" customHeight="true" outlineLevel="0" collapsed="false">
      <c r="A188" s="12" t="n">
        <f aca="false">A187+4000</f>
        <v>736500</v>
      </c>
      <c r="B188" s="10" t="str">
        <f aca="false">INT(A188/60000) &amp; ":" &amp; INT(MOD(A188/1000, 60)) &amp; "." &amp; TEXT(INT(MOD(A188/1, 1000)), "000")</f>
        <v>12:16.500</v>
      </c>
      <c r="C188" s="7" t="s">
        <v>12</v>
      </c>
      <c r="D188" s="7" t="s">
        <v>13</v>
      </c>
      <c r="E188" s="8" t="str">
        <f aca="false">INDEX(movelist!B:B, MATCH($D188, movelist!A:A, 0))</f>
        <v>1000</v>
      </c>
      <c r="F188" s="11" t="s">
        <v>11</v>
      </c>
      <c r="G188" s="5" t="n">
        <v>75</v>
      </c>
      <c r="H188" s="5" t="n">
        <v>0</v>
      </c>
      <c r="I188" s="5" t="n">
        <v>0</v>
      </c>
      <c r="J188" s="8" t="s">
        <v>14</v>
      </c>
    </row>
    <row r="189" customFormat="false" ht="12.75" hidden="false" customHeight="true" outlineLevel="0" collapsed="false">
      <c r="A189" s="1" t="n">
        <f aca="false">A188 + 4000</f>
        <v>740500</v>
      </c>
      <c r="B189" s="10" t="str">
        <f aca="false">INT(A189/60000) &amp; ":" &amp; INT(MOD(A189/1000, 60)) &amp; "." &amp; TEXT(INT(MOD(A189/1, 1000)), "000")</f>
        <v>12:20.500</v>
      </c>
      <c r="C189" s="7" t="s">
        <v>12</v>
      </c>
      <c r="D189" s="7" t="s">
        <v>13</v>
      </c>
      <c r="E189" s="8" t="str">
        <f aca="false">INDEX(movelist!B:B, MATCH($D189, movelist!A:A, 0))</f>
        <v>1000</v>
      </c>
      <c r="F189" s="11" t="s">
        <v>15</v>
      </c>
      <c r="G189" s="5" t="n">
        <v>75</v>
      </c>
      <c r="H189" s="5" t="n">
        <v>0</v>
      </c>
      <c r="I189" s="5" t="n">
        <v>0.15</v>
      </c>
      <c r="J189" s="8" t="s">
        <v>16</v>
      </c>
    </row>
    <row r="190" customFormat="false" ht="12.75" hidden="false" customHeight="true" outlineLevel="0" collapsed="false">
      <c r="A190" s="12" t="n">
        <f aca="false">A189+4000</f>
        <v>744500</v>
      </c>
      <c r="B190" s="10" t="str">
        <f aca="false">INT(A190/60000) &amp; ":" &amp; INT(MOD(A190/1000, 60)) &amp; "." &amp; TEXT(INT(MOD(A190/1, 1000)), "000")</f>
        <v>12:24.500</v>
      </c>
      <c r="C190" s="7" t="s">
        <v>12</v>
      </c>
      <c r="D190" s="7" t="s">
        <v>13</v>
      </c>
      <c r="E190" s="8" t="str">
        <f aca="false">INDEX(movelist!B:B, MATCH($D190, movelist!A:A, 0))</f>
        <v>1000</v>
      </c>
      <c r="F190" s="11" t="s">
        <v>11</v>
      </c>
      <c r="G190" s="5" t="n">
        <v>75</v>
      </c>
      <c r="H190" s="5" t="n">
        <v>0</v>
      </c>
      <c r="I190" s="5" t="n">
        <v>0</v>
      </c>
      <c r="J190" s="8" t="s">
        <v>14</v>
      </c>
    </row>
    <row r="191" customFormat="false" ht="12.75" hidden="false" customHeight="true" outlineLevel="0" collapsed="false">
      <c r="A191" s="1" t="n">
        <f aca="false">A190 + 4000</f>
        <v>748500</v>
      </c>
      <c r="B191" s="10" t="str">
        <f aca="false">INT(A191/60000) &amp; ":" &amp; INT(MOD(A191/1000, 60)) &amp; "." &amp; TEXT(INT(MOD(A191/1, 1000)), "000")</f>
        <v>12:28.500</v>
      </c>
      <c r="C191" s="7" t="s">
        <v>12</v>
      </c>
      <c r="D191" s="7" t="s">
        <v>13</v>
      </c>
      <c r="E191" s="8" t="str">
        <f aca="false">INDEX(movelist!B:B, MATCH($D191, movelist!A:A, 0))</f>
        <v>1000</v>
      </c>
      <c r="F191" s="11" t="s">
        <v>15</v>
      </c>
      <c r="G191" s="5" t="n">
        <v>75</v>
      </c>
      <c r="H191" s="5" t="n">
        <v>0</v>
      </c>
      <c r="I191" s="5" t="n">
        <v>0.15</v>
      </c>
      <c r="J191" s="8" t="s">
        <v>16</v>
      </c>
    </row>
    <row r="192" customFormat="false" ht="12.75" hidden="false" customHeight="true" outlineLevel="0" collapsed="false">
      <c r="A192" s="12" t="n">
        <f aca="false">A191+4000</f>
        <v>752500</v>
      </c>
      <c r="B192" s="10" t="str">
        <f aca="false">INT(A192/60000) &amp; ":" &amp; INT(MOD(A192/1000, 60)) &amp; "." &amp; TEXT(INT(MOD(A192/1, 1000)), "000")</f>
        <v>12:32.500</v>
      </c>
      <c r="C192" s="7" t="s">
        <v>12</v>
      </c>
      <c r="D192" s="7" t="s">
        <v>13</v>
      </c>
      <c r="E192" s="8" t="str">
        <f aca="false">INDEX(movelist!B:B, MATCH($D192, movelist!A:A, 0))</f>
        <v>1000</v>
      </c>
      <c r="F192" s="11" t="s">
        <v>11</v>
      </c>
      <c r="G192" s="5" t="n">
        <v>75</v>
      </c>
      <c r="H192" s="5" t="n">
        <v>0</v>
      </c>
      <c r="I192" s="5" t="n">
        <v>0</v>
      </c>
      <c r="J192" s="8" t="s">
        <v>14</v>
      </c>
    </row>
    <row r="193" customFormat="false" ht="12.75" hidden="false" customHeight="true" outlineLevel="0" collapsed="false">
      <c r="A193" s="1" t="n">
        <f aca="false">A192 + 4000</f>
        <v>756500</v>
      </c>
      <c r="B193" s="10" t="str">
        <f aca="false">INT(A193/60000) &amp; ":" &amp; INT(MOD(A193/1000, 60)) &amp; "." &amp; TEXT(INT(MOD(A193/1, 1000)), "000")</f>
        <v>12:36.500</v>
      </c>
      <c r="C193" s="7" t="s">
        <v>12</v>
      </c>
      <c r="D193" s="7" t="s">
        <v>13</v>
      </c>
      <c r="E193" s="8" t="str">
        <f aca="false">INDEX(movelist!B:B, MATCH($D193, movelist!A:A, 0))</f>
        <v>1000</v>
      </c>
      <c r="F193" s="11" t="s">
        <v>15</v>
      </c>
      <c r="G193" s="5" t="n">
        <v>75</v>
      </c>
      <c r="H193" s="5" t="n">
        <v>0</v>
      </c>
      <c r="I193" s="5" t="n">
        <v>0.15</v>
      </c>
      <c r="J193" s="8" t="s">
        <v>16</v>
      </c>
    </row>
    <row r="194" customFormat="false" ht="12.75" hidden="false" customHeight="true" outlineLevel="0" collapsed="false">
      <c r="A194" s="12" t="n">
        <f aca="false">A193+4000</f>
        <v>760500</v>
      </c>
      <c r="B194" s="10" t="str">
        <f aca="false">INT(A194/60000) &amp; ":" &amp; INT(MOD(A194/1000, 60)) &amp; "." &amp; TEXT(INT(MOD(A194/1, 1000)), "000")</f>
        <v>12:40.500</v>
      </c>
      <c r="C194" s="7" t="s">
        <v>12</v>
      </c>
      <c r="D194" s="7" t="s">
        <v>13</v>
      </c>
      <c r="E194" s="8" t="str">
        <f aca="false">INDEX(movelist!B:B, MATCH($D194, movelist!A:A, 0))</f>
        <v>1000</v>
      </c>
      <c r="F194" s="11" t="s">
        <v>11</v>
      </c>
      <c r="G194" s="5" t="n">
        <v>75</v>
      </c>
      <c r="H194" s="5" t="n">
        <v>0</v>
      </c>
      <c r="I194" s="5" t="n">
        <v>0</v>
      </c>
      <c r="J194" s="8" t="s">
        <v>14</v>
      </c>
    </row>
    <row r="195" customFormat="false" ht="12.75" hidden="false" customHeight="true" outlineLevel="0" collapsed="false">
      <c r="A195" s="1" t="n">
        <f aca="false">A194 + 4000</f>
        <v>764500</v>
      </c>
      <c r="B195" s="10" t="str">
        <f aca="false">INT(A195/60000) &amp; ":" &amp; INT(MOD(A195/1000, 60)) &amp; "." &amp; TEXT(INT(MOD(A195/1, 1000)), "000")</f>
        <v>12:44.500</v>
      </c>
      <c r="C195" s="7" t="s">
        <v>12</v>
      </c>
      <c r="D195" s="7" t="s">
        <v>13</v>
      </c>
      <c r="E195" s="8" t="str">
        <f aca="false">INDEX(movelist!B:B, MATCH($D195, movelist!A:A, 0))</f>
        <v>1000</v>
      </c>
      <c r="F195" s="11" t="s">
        <v>15</v>
      </c>
      <c r="G195" s="5" t="n">
        <v>75</v>
      </c>
      <c r="H195" s="5" t="n">
        <v>0</v>
      </c>
      <c r="I195" s="5" t="n">
        <v>0.15</v>
      </c>
      <c r="J195" s="8" t="s">
        <v>16</v>
      </c>
    </row>
    <row r="196" customFormat="false" ht="12.75" hidden="false" customHeight="true" outlineLevel="0" collapsed="false">
      <c r="A196" s="12" t="n">
        <f aca="false">A195+4000</f>
        <v>768500</v>
      </c>
      <c r="B196" s="10" t="str">
        <f aca="false">INT(A196/60000) &amp; ":" &amp; INT(MOD(A196/1000, 60)) &amp; "." &amp; TEXT(INT(MOD(A196/1, 1000)), "000")</f>
        <v>12:48.500</v>
      </c>
      <c r="C196" s="7" t="s">
        <v>12</v>
      </c>
      <c r="D196" s="7" t="s">
        <v>13</v>
      </c>
      <c r="E196" s="8" t="str">
        <f aca="false">INDEX(movelist!B:B, MATCH($D196, movelist!A:A, 0))</f>
        <v>1000</v>
      </c>
      <c r="F196" s="11" t="s">
        <v>11</v>
      </c>
      <c r="G196" s="5" t="n">
        <v>75</v>
      </c>
      <c r="H196" s="5" t="n">
        <v>0</v>
      </c>
      <c r="I196" s="5" t="n">
        <v>0</v>
      </c>
      <c r="J196" s="8" t="s">
        <v>14</v>
      </c>
    </row>
    <row r="197" customFormat="false" ht="12.75" hidden="false" customHeight="true" outlineLevel="0" collapsed="false">
      <c r="A197" s="1" t="n">
        <f aca="false">A196 + 4000</f>
        <v>772500</v>
      </c>
      <c r="B197" s="10" t="str">
        <f aca="false">INT(A197/60000) &amp; ":" &amp; INT(MOD(A197/1000, 60)) &amp; "." &amp; TEXT(INT(MOD(A197/1, 1000)), "000")</f>
        <v>12:52.500</v>
      </c>
      <c r="C197" s="7" t="s">
        <v>12</v>
      </c>
      <c r="D197" s="7" t="s">
        <v>13</v>
      </c>
      <c r="E197" s="8" t="str">
        <f aca="false">INDEX(movelist!B:B, MATCH($D197, movelist!A:A, 0))</f>
        <v>1000</v>
      </c>
      <c r="F197" s="11" t="s">
        <v>15</v>
      </c>
      <c r="G197" s="5" t="n">
        <v>75</v>
      </c>
      <c r="H197" s="5" t="n">
        <v>0</v>
      </c>
      <c r="I197" s="5" t="n">
        <v>0.15</v>
      </c>
      <c r="J197" s="8" t="s">
        <v>16</v>
      </c>
    </row>
    <row r="198" customFormat="false" ht="12.75" hidden="false" customHeight="true" outlineLevel="0" collapsed="false">
      <c r="A198" s="12" t="n">
        <f aca="false">A197+4000</f>
        <v>776500</v>
      </c>
      <c r="B198" s="10" t="str">
        <f aca="false">INT(A198/60000) &amp; ":" &amp; INT(MOD(A198/1000, 60)) &amp; "." &amp; TEXT(INT(MOD(A198/1, 1000)), "000")</f>
        <v>12:56.500</v>
      </c>
      <c r="C198" s="7" t="s">
        <v>12</v>
      </c>
      <c r="D198" s="7" t="s">
        <v>13</v>
      </c>
      <c r="E198" s="8" t="str">
        <f aca="false">INDEX(movelist!B:B, MATCH($D198, movelist!A:A, 0))</f>
        <v>1000</v>
      </c>
      <c r="F198" s="11" t="s">
        <v>11</v>
      </c>
      <c r="G198" s="5" t="n">
        <v>75</v>
      </c>
      <c r="H198" s="5" t="n">
        <v>0</v>
      </c>
      <c r="I198" s="5" t="n">
        <v>0</v>
      </c>
      <c r="J198" s="8" t="s">
        <v>14</v>
      </c>
    </row>
    <row r="199" customFormat="false" ht="12.75" hidden="false" customHeight="true" outlineLevel="0" collapsed="false">
      <c r="A199" s="1" t="n">
        <f aca="false">A198 + 4000</f>
        <v>780500</v>
      </c>
      <c r="B199" s="10" t="str">
        <f aca="false">INT(A199/60000) &amp; ":" &amp; INT(MOD(A199/1000, 60)) &amp; "." &amp; TEXT(INT(MOD(A199/1, 1000)), "000")</f>
        <v>13:0.500</v>
      </c>
      <c r="C199" s="7" t="s">
        <v>12</v>
      </c>
      <c r="D199" s="7" t="s">
        <v>13</v>
      </c>
      <c r="E199" s="8" t="str">
        <f aca="false">INDEX(movelist!B:B, MATCH($D199, movelist!A:A, 0))</f>
        <v>1000</v>
      </c>
      <c r="F199" s="11" t="s">
        <v>15</v>
      </c>
      <c r="G199" s="5" t="n">
        <v>75</v>
      </c>
      <c r="H199" s="5" t="n">
        <v>0</v>
      </c>
      <c r="I199" s="5" t="n">
        <v>0.15</v>
      </c>
      <c r="J199" s="8" t="s">
        <v>16</v>
      </c>
    </row>
    <row r="200" customFormat="false" ht="12.75" hidden="false" customHeight="true" outlineLevel="0" collapsed="false">
      <c r="A200" s="12" t="n">
        <f aca="false">A199+4000</f>
        <v>784500</v>
      </c>
      <c r="B200" s="10" t="str">
        <f aca="false">INT(A200/60000) &amp; ":" &amp; INT(MOD(A200/1000, 60)) &amp; "." &amp; TEXT(INT(MOD(A200/1, 1000)), "000")</f>
        <v>13:4.500</v>
      </c>
      <c r="C200" s="7" t="s">
        <v>12</v>
      </c>
      <c r="D200" s="7" t="s">
        <v>13</v>
      </c>
      <c r="E200" s="8" t="str">
        <f aca="false">INDEX(movelist!B:B, MATCH($D200, movelist!A:A, 0))</f>
        <v>1000</v>
      </c>
      <c r="F200" s="11" t="s">
        <v>11</v>
      </c>
      <c r="G200" s="5" t="n">
        <v>75</v>
      </c>
      <c r="H200" s="5" t="n">
        <v>0</v>
      </c>
      <c r="I200" s="5" t="n">
        <v>0</v>
      </c>
      <c r="J200" s="8" t="s">
        <v>14</v>
      </c>
    </row>
    <row r="201" customFormat="false" ht="12.75" hidden="false" customHeight="true" outlineLevel="0" collapsed="false">
      <c r="A201" s="1" t="n">
        <f aca="false">A200 + 4000</f>
        <v>788500</v>
      </c>
      <c r="B201" s="10" t="str">
        <f aca="false">INT(A201/60000) &amp; ":" &amp; INT(MOD(A201/1000, 60)) &amp; "." &amp; TEXT(INT(MOD(A201/1, 1000)), "000")</f>
        <v>13:8.500</v>
      </c>
      <c r="C201" s="7" t="s">
        <v>12</v>
      </c>
      <c r="D201" s="7" t="s">
        <v>13</v>
      </c>
      <c r="E201" s="8" t="str">
        <f aca="false">INDEX(movelist!B:B, MATCH($D201, movelist!A:A, 0))</f>
        <v>1000</v>
      </c>
      <c r="F201" s="11" t="s">
        <v>15</v>
      </c>
      <c r="G201" s="5" t="n">
        <v>75</v>
      </c>
      <c r="H201" s="5" t="n">
        <v>0</v>
      </c>
      <c r="I201" s="5" t="n">
        <v>0.15</v>
      </c>
      <c r="J201" s="8" t="s">
        <v>16</v>
      </c>
    </row>
    <row r="202" customFormat="false" ht="12.75" hidden="false" customHeight="true" outlineLevel="0" collapsed="false">
      <c r="A202" s="12" t="n">
        <f aca="false">A201+4000</f>
        <v>792500</v>
      </c>
      <c r="B202" s="10" t="str">
        <f aca="false">INT(A202/60000) &amp; ":" &amp; INT(MOD(A202/1000, 60)) &amp; "." &amp; TEXT(INT(MOD(A202/1, 1000)), "000")</f>
        <v>13:12.500</v>
      </c>
      <c r="C202" s="7" t="s">
        <v>12</v>
      </c>
      <c r="D202" s="7" t="s">
        <v>13</v>
      </c>
      <c r="E202" s="8" t="str">
        <f aca="false">INDEX(movelist!B:B, MATCH($D202, movelist!A:A, 0))</f>
        <v>1000</v>
      </c>
      <c r="F202" s="11" t="s">
        <v>11</v>
      </c>
      <c r="G202" s="5" t="n">
        <v>75</v>
      </c>
      <c r="H202" s="5" t="n">
        <v>0</v>
      </c>
      <c r="I202" s="5" t="n">
        <v>0</v>
      </c>
      <c r="J202" s="8" t="s">
        <v>14</v>
      </c>
    </row>
    <row r="203" customFormat="false" ht="12.75" hidden="false" customHeight="true" outlineLevel="0" collapsed="false">
      <c r="A203" s="1" t="n">
        <f aca="false">A202 + 4000</f>
        <v>796500</v>
      </c>
      <c r="B203" s="10" t="str">
        <f aca="false">INT(A203/60000) &amp; ":" &amp; INT(MOD(A203/1000, 60)) &amp; "." &amp; TEXT(INT(MOD(A203/1, 1000)), "000")</f>
        <v>13:16.500</v>
      </c>
      <c r="C203" s="7" t="s">
        <v>12</v>
      </c>
      <c r="D203" s="7" t="s">
        <v>13</v>
      </c>
      <c r="E203" s="8" t="str">
        <f aca="false">INDEX(movelist!B:B, MATCH($D203, movelist!A:A, 0))</f>
        <v>1000</v>
      </c>
      <c r="F203" s="11" t="s">
        <v>15</v>
      </c>
      <c r="G203" s="5" t="n">
        <v>75</v>
      </c>
      <c r="H203" s="5" t="n">
        <v>0</v>
      </c>
      <c r="I203" s="5" t="n">
        <v>0.15</v>
      </c>
      <c r="J203" s="8" t="s">
        <v>16</v>
      </c>
    </row>
    <row r="204" customFormat="false" ht="12.75" hidden="false" customHeight="true" outlineLevel="0" collapsed="false">
      <c r="A204" s="12" t="n">
        <f aca="false">A203+4000</f>
        <v>800500</v>
      </c>
      <c r="B204" s="10" t="str">
        <f aca="false">INT(A204/60000) &amp; ":" &amp; INT(MOD(A204/1000, 60)) &amp; "." &amp; TEXT(INT(MOD(A204/1, 1000)), "000")</f>
        <v>13:20.500</v>
      </c>
      <c r="C204" s="7" t="s">
        <v>12</v>
      </c>
      <c r="D204" s="7" t="s">
        <v>13</v>
      </c>
      <c r="E204" s="8" t="str">
        <f aca="false">INDEX(movelist!B:B, MATCH($D204, movelist!A:A, 0))</f>
        <v>1000</v>
      </c>
      <c r="F204" s="11" t="s">
        <v>11</v>
      </c>
      <c r="G204" s="5" t="n">
        <v>75</v>
      </c>
      <c r="H204" s="5" t="n">
        <v>0</v>
      </c>
      <c r="I204" s="5" t="n">
        <v>0</v>
      </c>
      <c r="J204" s="8" t="s">
        <v>14</v>
      </c>
    </row>
    <row r="205" customFormat="false" ht="12.75" hidden="false" customHeight="true" outlineLevel="0" collapsed="false">
      <c r="A205" s="1" t="n">
        <f aca="false">A204 + 4000</f>
        <v>804500</v>
      </c>
      <c r="B205" s="10" t="str">
        <f aca="false">INT(A205/60000) &amp; ":" &amp; INT(MOD(A205/1000, 60)) &amp; "." &amp; TEXT(INT(MOD(A205/1, 1000)), "000")</f>
        <v>13:24.500</v>
      </c>
      <c r="C205" s="7" t="s">
        <v>12</v>
      </c>
      <c r="D205" s="7" t="s">
        <v>13</v>
      </c>
      <c r="E205" s="8" t="str">
        <f aca="false">INDEX(movelist!B:B, MATCH($D205, movelist!A:A, 0))</f>
        <v>1000</v>
      </c>
      <c r="F205" s="11" t="s">
        <v>15</v>
      </c>
      <c r="G205" s="5" t="n">
        <v>75</v>
      </c>
      <c r="H205" s="5" t="n">
        <v>0</v>
      </c>
      <c r="I205" s="5" t="n">
        <v>0.15</v>
      </c>
      <c r="J205" s="8" t="s">
        <v>16</v>
      </c>
    </row>
  </sheetData>
  <conditionalFormatting sqref="A3:A1048576">
    <cfRule type="expression" priority="2" aboveAverage="0" equalAverage="0" bottom="0" percent="0" rank="0" text="" dxfId="0">
      <formula>A3&lt;A2</formula>
    </cfRule>
  </conditionalFormatting>
  <conditionalFormatting sqref="D157:D1048576 C1:D205 C157:C1048576">
    <cfRule type="cellIs" priority="3" operator="equal" aboveAverage="0" equalAverage="0" bottom="0" percent="0" rank="0" text="" dxfId="1">
      <formula>""</formula>
    </cfRule>
  </conditionalFormatting>
  <conditionalFormatting sqref="H2 H206:H1048576 H4 H7 H11 H15 H27:H35 H47:H55 H107:H155">
    <cfRule type="colorScale" priority="4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206:I1048576 I1:I4 I7 I11 I15 I27:I35 I47:I55 I107:I155">
    <cfRule type="colorScale" priority="5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206:G1048576 G1:G4 G7 G11 G15 G27:G35 G47:G55 G107:G155">
    <cfRule type="colorScale" priority="6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F1:F1048576">
    <cfRule type="cellIs" priority="7" operator="equal" aboveAverage="0" equalAverage="0" bottom="0" percent="0" rank="0" text="" dxfId="2">
      <formula>"true"</formula>
    </cfRule>
    <cfRule type="cellIs" priority="8" operator="equal" aboveAverage="0" equalAverage="0" bottom="0" percent="0" rank="0" text="" dxfId="3">
      <formula>"false"</formula>
    </cfRule>
  </conditionalFormatting>
  <conditionalFormatting sqref="H3">
    <cfRule type="colorScale" priority="9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G5:G205">
    <cfRule type="colorScale" priority="10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5:H205">
    <cfRule type="colorScale" priority="11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5:I205">
    <cfRule type="colorScale" priority="12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H9">
    <cfRule type="colorScale" priority="13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9">
    <cfRule type="colorScale" priority="14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9">
    <cfRule type="colorScale" priority="15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13">
    <cfRule type="colorScale" priority="16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13">
    <cfRule type="colorScale" priority="17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13">
    <cfRule type="colorScale" priority="18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25 H17 H21">
    <cfRule type="colorScale" priority="19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25 I17 I21">
    <cfRule type="colorScale" priority="20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25 G17 G21">
    <cfRule type="colorScale" priority="21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45 H37 H41">
    <cfRule type="colorScale" priority="22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45 I37 I41">
    <cfRule type="colorScale" priority="23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45 G37 G41">
    <cfRule type="colorScale" priority="24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97:H105 H57 H61 H65 H77:H85">
    <cfRule type="colorScale" priority="25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97:I105 I57 I61 I65 I77:I85">
    <cfRule type="colorScale" priority="26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97:G105 G57 G61 G65 G77:G85">
    <cfRule type="colorScale" priority="27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197:H205 H157 H161 H165 H177:H185">
    <cfRule type="colorScale" priority="28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197:I205 I157 I161 I165 I177:I185">
    <cfRule type="colorScale" priority="29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197:G205 G157 G161 G165 G177:G185">
    <cfRule type="colorScale" priority="30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dataValidations count="6">
    <dataValidation allowBlank="false" errorStyle="stop" operator="equal" showDropDown="false" showErrorMessage="true" showInputMessage="false" sqref="C2:C205" type="list">
      <formula1>"start_only,movement,subroutine,"</formula1>
      <formula2>0</formula2>
    </dataValidation>
    <dataValidation allowBlank="false" errorStyle="stop" operator="equal" showDropDown="false" showErrorMessage="true" showInputMessage="false" sqref="D2:D205" type="list">
      <formula1>movelist!$A:$A</formula1>
      <formula2>0</formula2>
    </dataValidation>
    <dataValidation allowBlank="false" errorStyle="stop" operator="equal" showDropDown="false" showErrorMessage="true" showInputMessage="false" sqref="F2:F205" type="list">
      <formula1>"true,false"</formula1>
      <formula2>0</formula2>
    </dataValidation>
    <dataValidation allowBlank="false" errorStyle="stop" operator="greaterThan" showDropDown="false" showErrorMessage="true" showInputMessage="false" sqref="G2:G1021" type="decimal">
      <formula1>0</formula1>
      <formula2>0</formula2>
    </dataValidation>
    <dataValidation allowBlank="false" errorStyle="stop" operator="greaterThanOrEqual" showDropDown="false" showErrorMessage="true" showInputMessage="false" sqref="H2:I1021" type="decimal">
      <formula1>0</formula1>
      <formula2>0</formula2>
    </dataValidation>
    <dataValidation allowBlank="false" errorStyle="stop" operator="greaterThanOrEqual" showDropDown="false" showErrorMessage="true" showInputMessage="false" sqref="H1" type="none">
      <formula1>0</formula1>
      <formula2>0</formula2>
    </dataValidation>
  </dataValidation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1"/>
  <sheetViews>
    <sheetView showFormulas="false" showGridLines="true" showRowColHeaders="true" showZeros="true" rightToLeft="false" tabSelected="false" showOutlineSymbols="true" defaultGridColor="true" view="normal" topLeftCell="A145" colorId="64" zoomScale="100" zoomScaleNormal="100" zoomScalePageLayoutView="100" workbookViewId="0">
      <selection pane="topLeft" activeCell="C153" activeCellId="0" sqref="C15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3" width="26.7"/>
  </cols>
  <sheetData>
    <row r="1" customFormat="false" ht="12.75" hidden="false" customHeight="true" outlineLevel="0" collapsed="false">
      <c r="B1" s="13"/>
    </row>
    <row r="2" customFormat="false" ht="12.75" hidden="false" customHeight="true" outlineLevel="0" collapsed="false">
      <c r="A2" s="13" t="s">
        <v>17</v>
      </c>
      <c r="B2" s="13" t="s">
        <v>18</v>
      </c>
    </row>
    <row r="3" customFormat="false" ht="12.75" hidden="false" customHeight="true" outlineLevel="0" collapsed="false">
      <c r="A3" s="13" t="s">
        <v>19</v>
      </c>
      <c r="B3" s="13" t="s">
        <v>20</v>
      </c>
    </row>
    <row r="4" customFormat="false" ht="12.75" hidden="false" customHeight="true" outlineLevel="0" collapsed="false">
      <c r="A4" s="13" t="s">
        <v>21</v>
      </c>
      <c r="B4" s="13" t="s">
        <v>22</v>
      </c>
    </row>
    <row r="5" customFormat="false" ht="12.75" hidden="false" customHeight="true" outlineLevel="0" collapsed="false">
      <c r="A5" s="13" t="s">
        <v>23</v>
      </c>
      <c r="B5" s="13" t="s">
        <v>24</v>
      </c>
    </row>
    <row r="6" customFormat="false" ht="12.75" hidden="false" customHeight="true" outlineLevel="0" collapsed="false">
      <c r="A6" s="13" t="s">
        <v>25</v>
      </c>
      <c r="B6" s="13" t="s">
        <v>26</v>
      </c>
    </row>
    <row r="7" customFormat="false" ht="12.75" hidden="false" customHeight="true" outlineLevel="0" collapsed="false">
      <c r="A7" s="13" t="s">
        <v>27</v>
      </c>
      <c r="B7" s="13" t="s">
        <v>28</v>
      </c>
    </row>
    <row r="8" customFormat="false" ht="12.75" hidden="false" customHeight="true" outlineLevel="0" collapsed="false">
      <c r="A8" s="13" t="s">
        <v>29</v>
      </c>
      <c r="B8" s="13" t="s">
        <v>30</v>
      </c>
    </row>
    <row r="9" customFormat="false" ht="12.75" hidden="false" customHeight="true" outlineLevel="0" collapsed="false">
      <c r="A9" s="13" t="s">
        <v>31</v>
      </c>
      <c r="B9" s="13" t="s">
        <v>18</v>
      </c>
    </row>
    <row r="10" customFormat="false" ht="12.75" hidden="false" customHeight="true" outlineLevel="0" collapsed="false">
      <c r="A10" s="13" t="s">
        <v>32</v>
      </c>
      <c r="B10" s="13" t="s">
        <v>33</v>
      </c>
    </row>
    <row r="11" customFormat="false" ht="12.75" hidden="false" customHeight="true" outlineLevel="0" collapsed="false">
      <c r="A11" s="13" t="s">
        <v>34</v>
      </c>
      <c r="B11" s="13" t="s">
        <v>35</v>
      </c>
    </row>
    <row r="12" customFormat="false" ht="12.75" hidden="false" customHeight="true" outlineLevel="0" collapsed="false">
      <c r="A12" s="13" t="s">
        <v>36</v>
      </c>
      <c r="B12" s="13" t="s">
        <v>37</v>
      </c>
    </row>
    <row r="13" customFormat="false" ht="12.75" hidden="false" customHeight="true" outlineLevel="0" collapsed="false">
      <c r="A13" s="13" t="s">
        <v>38</v>
      </c>
      <c r="B13" s="13" t="s">
        <v>39</v>
      </c>
    </row>
    <row r="14" customFormat="false" ht="12.75" hidden="false" customHeight="true" outlineLevel="0" collapsed="false">
      <c r="A14" s="13" t="s">
        <v>40</v>
      </c>
      <c r="B14" s="13" t="s">
        <v>41</v>
      </c>
    </row>
    <row r="15" customFormat="false" ht="12.75" hidden="false" customHeight="true" outlineLevel="0" collapsed="false">
      <c r="A15" s="13" t="s">
        <v>42</v>
      </c>
      <c r="B15" s="13" t="s">
        <v>43</v>
      </c>
    </row>
    <row r="16" customFormat="false" ht="12.75" hidden="false" customHeight="true" outlineLevel="0" collapsed="false">
      <c r="A16" s="13" t="s">
        <v>44</v>
      </c>
      <c r="B16" s="13" t="s">
        <v>45</v>
      </c>
    </row>
    <row r="17" customFormat="false" ht="12.75" hidden="false" customHeight="true" outlineLevel="0" collapsed="false">
      <c r="A17" s="13" t="s">
        <v>46</v>
      </c>
      <c r="B17" s="13" t="s">
        <v>47</v>
      </c>
    </row>
    <row r="18" customFormat="false" ht="12.75" hidden="false" customHeight="true" outlineLevel="0" collapsed="false">
      <c r="A18" s="13" t="s">
        <v>48</v>
      </c>
      <c r="B18" s="13" t="s">
        <v>49</v>
      </c>
    </row>
    <row r="19" customFormat="false" ht="12.75" hidden="false" customHeight="true" outlineLevel="0" collapsed="false">
      <c r="A19" s="13" t="s">
        <v>50</v>
      </c>
      <c r="B19" s="13" t="s">
        <v>49</v>
      </c>
    </row>
    <row r="20" customFormat="false" ht="12.75" hidden="false" customHeight="true" outlineLevel="0" collapsed="false">
      <c r="A20" s="13" t="s">
        <v>51</v>
      </c>
      <c r="B20" s="13" t="s">
        <v>52</v>
      </c>
    </row>
    <row r="21" customFormat="false" ht="12.75" hidden="false" customHeight="true" outlineLevel="0" collapsed="false">
      <c r="A21" s="13" t="s">
        <v>53</v>
      </c>
      <c r="B21" s="13" t="s">
        <v>52</v>
      </c>
    </row>
    <row r="22" customFormat="false" ht="12.75" hidden="false" customHeight="true" outlineLevel="0" collapsed="false">
      <c r="A22" s="13" t="s">
        <v>54</v>
      </c>
      <c r="B22" s="13" t="s">
        <v>52</v>
      </c>
    </row>
    <row r="23" customFormat="false" ht="12.75" hidden="false" customHeight="true" outlineLevel="0" collapsed="false">
      <c r="A23" s="14" t="s">
        <v>55</v>
      </c>
      <c r="B23" s="14" t="s">
        <v>52</v>
      </c>
    </row>
    <row r="24" customFormat="false" ht="12.75" hidden="false" customHeight="true" outlineLevel="0" collapsed="false">
      <c r="A24" s="14" t="s">
        <v>10</v>
      </c>
      <c r="B24" s="14" t="s">
        <v>56</v>
      </c>
    </row>
    <row r="25" customFormat="false" ht="12.75" hidden="false" customHeight="true" outlineLevel="0" collapsed="false">
      <c r="A25" s="14" t="s">
        <v>57</v>
      </c>
      <c r="B25" s="14" t="s">
        <v>58</v>
      </c>
    </row>
    <row r="26" customFormat="false" ht="12.75" hidden="false" customHeight="true" outlineLevel="0" collapsed="false">
      <c r="A26" s="14" t="s">
        <v>59</v>
      </c>
      <c r="B26" s="14" t="s">
        <v>60</v>
      </c>
    </row>
    <row r="27" customFormat="false" ht="12.75" hidden="false" customHeight="true" outlineLevel="0" collapsed="false">
      <c r="A27" s="14" t="s">
        <v>61</v>
      </c>
      <c r="B27" s="14" t="s">
        <v>62</v>
      </c>
    </row>
    <row r="28" customFormat="false" ht="12.75" hidden="false" customHeight="true" outlineLevel="0" collapsed="false">
      <c r="A28" s="14" t="s">
        <v>63</v>
      </c>
      <c r="B28" s="14" t="s">
        <v>64</v>
      </c>
    </row>
    <row r="29" customFormat="false" ht="12.75" hidden="false" customHeight="true" outlineLevel="0" collapsed="false">
      <c r="A29" s="14" t="s">
        <v>65</v>
      </c>
      <c r="B29" s="14" t="s">
        <v>66</v>
      </c>
    </row>
    <row r="30" customFormat="false" ht="12.75" hidden="false" customHeight="true" outlineLevel="0" collapsed="false">
      <c r="A30" s="14" t="s">
        <v>67</v>
      </c>
      <c r="B30" s="14" t="s">
        <v>68</v>
      </c>
    </row>
    <row r="31" customFormat="false" ht="12.75" hidden="false" customHeight="true" outlineLevel="0" collapsed="false">
      <c r="A31" s="14" t="s">
        <v>69</v>
      </c>
      <c r="B31" s="14" t="s">
        <v>70</v>
      </c>
    </row>
    <row r="32" customFormat="false" ht="12.75" hidden="false" customHeight="true" outlineLevel="0" collapsed="false">
      <c r="A32" s="14" t="s">
        <v>71</v>
      </c>
      <c r="B32" s="14" t="s">
        <v>72</v>
      </c>
    </row>
    <row r="33" customFormat="false" ht="12.75" hidden="false" customHeight="true" outlineLevel="0" collapsed="false">
      <c r="A33" s="14" t="s">
        <v>73</v>
      </c>
      <c r="B33" s="14" t="s">
        <v>74</v>
      </c>
    </row>
    <row r="34" customFormat="false" ht="12.75" hidden="false" customHeight="true" outlineLevel="0" collapsed="false">
      <c r="A34" s="14" t="s">
        <v>75</v>
      </c>
      <c r="B34" s="14" t="s">
        <v>76</v>
      </c>
    </row>
    <row r="35" customFormat="false" ht="12.75" hidden="false" customHeight="true" outlineLevel="0" collapsed="false">
      <c r="A35" s="14" t="s">
        <v>77</v>
      </c>
      <c r="B35" s="14" t="s">
        <v>78</v>
      </c>
    </row>
    <row r="36" customFormat="false" ht="12.75" hidden="false" customHeight="true" outlineLevel="0" collapsed="false">
      <c r="A36" s="14" t="s">
        <v>79</v>
      </c>
      <c r="B36" s="14" t="s">
        <v>80</v>
      </c>
    </row>
    <row r="37" customFormat="false" ht="12.75" hidden="false" customHeight="true" outlineLevel="0" collapsed="false">
      <c r="A37" s="14" t="s">
        <v>81</v>
      </c>
      <c r="B37" s="14" t="s">
        <v>82</v>
      </c>
    </row>
    <row r="38" customFormat="false" ht="12.75" hidden="false" customHeight="true" outlineLevel="0" collapsed="false">
      <c r="A38" s="14" t="s">
        <v>83</v>
      </c>
      <c r="B38" s="14" t="s">
        <v>84</v>
      </c>
    </row>
    <row r="39" customFormat="false" ht="12.75" hidden="false" customHeight="true" outlineLevel="0" collapsed="false">
      <c r="A39" s="14" t="s">
        <v>85</v>
      </c>
      <c r="B39" s="14" t="s">
        <v>86</v>
      </c>
    </row>
    <row r="40" customFormat="false" ht="12.75" hidden="false" customHeight="true" outlineLevel="0" collapsed="false">
      <c r="A40" s="14" t="s">
        <v>87</v>
      </c>
      <c r="B40" s="14" t="s">
        <v>88</v>
      </c>
    </row>
    <row r="41" customFormat="false" ht="12.75" hidden="false" customHeight="true" outlineLevel="0" collapsed="false">
      <c r="A41" s="14" t="s">
        <v>89</v>
      </c>
      <c r="B41" s="14" t="s">
        <v>90</v>
      </c>
    </row>
    <row r="42" customFormat="false" ht="12.75" hidden="false" customHeight="true" outlineLevel="0" collapsed="false">
      <c r="A42" s="14" t="s">
        <v>91</v>
      </c>
      <c r="B42" s="14" t="s">
        <v>92</v>
      </c>
    </row>
    <row r="43" customFormat="false" ht="12.75" hidden="false" customHeight="true" outlineLevel="0" collapsed="false">
      <c r="A43" s="14" t="s">
        <v>93</v>
      </c>
      <c r="B43" s="14" t="s">
        <v>94</v>
      </c>
    </row>
    <row r="44" customFormat="false" ht="12.75" hidden="false" customHeight="true" outlineLevel="0" collapsed="false">
      <c r="A44" s="14" t="s">
        <v>95</v>
      </c>
      <c r="B44" s="14" t="s">
        <v>96</v>
      </c>
    </row>
    <row r="45" customFormat="false" ht="12.75" hidden="false" customHeight="true" outlineLevel="0" collapsed="false">
      <c r="A45" s="14" t="s">
        <v>97</v>
      </c>
      <c r="B45" s="14" t="s">
        <v>98</v>
      </c>
    </row>
    <row r="46" customFormat="false" ht="12.75" hidden="false" customHeight="true" outlineLevel="0" collapsed="false">
      <c r="A46" s="14" t="s">
        <v>99</v>
      </c>
      <c r="B46" s="14" t="s">
        <v>100</v>
      </c>
    </row>
    <row r="47" customFormat="false" ht="12.75" hidden="false" customHeight="true" outlineLevel="0" collapsed="false">
      <c r="A47" s="14" t="s">
        <v>101</v>
      </c>
      <c r="B47" s="14" t="s">
        <v>102</v>
      </c>
    </row>
    <row r="48" customFormat="false" ht="12.75" hidden="false" customHeight="true" outlineLevel="0" collapsed="false">
      <c r="A48" s="14" t="s">
        <v>103</v>
      </c>
      <c r="B48" s="14" t="s">
        <v>102</v>
      </c>
    </row>
    <row r="49" customFormat="false" ht="12.75" hidden="false" customHeight="true" outlineLevel="0" collapsed="false">
      <c r="A49" s="14" t="s">
        <v>104</v>
      </c>
      <c r="B49" s="14" t="s">
        <v>78</v>
      </c>
    </row>
    <row r="50" customFormat="false" ht="12.75" hidden="false" customHeight="true" outlineLevel="0" collapsed="false">
      <c r="A50" s="14" t="s">
        <v>105</v>
      </c>
      <c r="B50" s="14" t="s">
        <v>106</v>
      </c>
    </row>
    <row r="51" customFormat="false" ht="12.75" hidden="false" customHeight="true" outlineLevel="0" collapsed="false">
      <c r="A51" s="14" t="s">
        <v>107</v>
      </c>
      <c r="B51" s="14" t="s">
        <v>108</v>
      </c>
    </row>
    <row r="52" customFormat="false" ht="12.75" hidden="false" customHeight="true" outlineLevel="0" collapsed="false">
      <c r="A52" s="14" t="s">
        <v>109</v>
      </c>
      <c r="B52" s="14" t="s">
        <v>110</v>
      </c>
    </row>
    <row r="53" customFormat="false" ht="12.75" hidden="false" customHeight="true" outlineLevel="0" collapsed="false">
      <c r="A53" s="14" t="s">
        <v>111</v>
      </c>
      <c r="B53" s="14" t="s">
        <v>112</v>
      </c>
    </row>
    <row r="54" customFormat="false" ht="12.75" hidden="false" customHeight="true" outlineLevel="0" collapsed="false">
      <c r="A54" s="14" t="s">
        <v>113</v>
      </c>
      <c r="B54" s="14" t="s">
        <v>114</v>
      </c>
    </row>
    <row r="55" customFormat="false" ht="12.75" hidden="false" customHeight="true" outlineLevel="0" collapsed="false">
      <c r="A55" s="14" t="s">
        <v>115</v>
      </c>
      <c r="B55" s="14" t="s">
        <v>116</v>
      </c>
    </row>
    <row r="56" customFormat="false" ht="12.75" hidden="false" customHeight="true" outlineLevel="0" collapsed="false">
      <c r="A56" s="14" t="s">
        <v>117</v>
      </c>
      <c r="B56" s="14" t="s">
        <v>118</v>
      </c>
    </row>
    <row r="57" customFormat="false" ht="12.75" hidden="false" customHeight="true" outlineLevel="0" collapsed="false">
      <c r="A57" s="14" t="s">
        <v>119</v>
      </c>
      <c r="B57" s="14" t="s">
        <v>120</v>
      </c>
    </row>
    <row r="58" customFormat="false" ht="12.75" hidden="false" customHeight="true" outlineLevel="0" collapsed="false">
      <c r="A58" s="14" t="s">
        <v>121</v>
      </c>
      <c r="B58" s="14" t="s">
        <v>122</v>
      </c>
    </row>
    <row r="59" customFormat="false" ht="12.75" hidden="false" customHeight="true" outlineLevel="0" collapsed="false">
      <c r="A59" s="14" t="s">
        <v>123</v>
      </c>
      <c r="B59" s="14" t="s">
        <v>124</v>
      </c>
    </row>
    <row r="60" customFormat="false" ht="12.75" hidden="false" customHeight="true" outlineLevel="0" collapsed="false">
      <c r="A60" s="14" t="s">
        <v>125</v>
      </c>
      <c r="B60" s="14" t="s">
        <v>126</v>
      </c>
    </row>
    <row r="61" customFormat="false" ht="12.75" hidden="false" customHeight="true" outlineLevel="0" collapsed="false">
      <c r="A61" s="14" t="s">
        <v>127</v>
      </c>
      <c r="B61" s="14" t="s">
        <v>128</v>
      </c>
    </row>
    <row r="62" customFormat="false" ht="12.75" hidden="false" customHeight="true" outlineLevel="0" collapsed="false">
      <c r="A62" s="14" t="s">
        <v>129</v>
      </c>
      <c r="B62" s="14" t="s">
        <v>130</v>
      </c>
    </row>
    <row r="63" customFormat="false" ht="12.75" hidden="false" customHeight="true" outlineLevel="0" collapsed="false">
      <c r="A63" s="14" t="s">
        <v>131</v>
      </c>
      <c r="B63" s="14" t="s">
        <v>132</v>
      </c>
    </row>
    <row r="64" customFormat="false" ht="12.75" hidden="false" customHeight="true" outlineLevel="0" collapsed="false">
      <c r="A64" s="14" t="s">
        <v>133</v>
      </c>
      <c r="B64" s="14" t="s">
        <v>134</v>
      </c>
    </row>
    <row r="65" customFormat="false" ht="12.75" hidden="false" customHeight="true" outlineLevel="0" collapsed="false">
      <c r="A65" s="14" t="s">
        <v>135</v>
      </c>
      <c r="B65" s="14" t="s">
        <v>136</v>
      </c>
    </row>
    <row r="66" customFormat="false" ht="12.75" hidden="false" customHeight="true" outlineLevel="0" collapsed="false">
      <c r="A66" s="14" t="s">
        <v>137</v>
      </c>
      <c r="B66" s="14" t="s">
        <v>138</v>
      </c>
    </row>
    <row r="67" customFormat="false" ht="12.75" hidden="false" customHeight="true" outlineLevel="0" collapsed="false">
      <c r="A67" s="14" t="s">
        <v>139</v>
      </c>
      <c r="B67" s="14" t="s">
        <v>140</v>
      </c>
    </row>
    <row r="68" customFormat="false" ht="12.75" hidden="false" customHeight="true" outlineLevel="0" collapsed="false">
      <c r="A68" s="14" t="s">
        <v>141</v>
      </c>
      <c r="B68" s="14" t="s">
        <v>18</v>
      </c>
    </row>
    <row r="69" customFormat="false" ht="12.75" hidden="false" customHeight="true" outlineLevel="0" collapsed="false">
      <c r="A69" s="14" t="s">
        <v>142</v>
      </c>
      <c r="B69" s="14" t="s">
        <v>143</v>
      </c>
    </row>
    <row r="70" customFormat="false" ht="12.75" hidden="false" customHeight="true" outlineLevel="0" collapsed="false">
      <c r="A70" s="14" t="s">
        <v>144</v>
      </c>
      <c r="B70" s="14" t="s">
        <v>145</v>
      </c>
    </row>
    <row r="71" customFormat="false" ht="12.75" hidden="false" customHeight="true" outlineLevel="0" collapsed="false">
      <c r="A71" s="14" t="s">
        <v>146</v>
      </c>
      <c r="B71" s="14" t="s">
        <v>147</v>
      </c>
    </row>
    <row r="72" customFormat="false" ht="12.75" hidden="false" customHeight="true" outlineLevel="0" collapsed="false">
      <c r="A72" s="14" t="s">
        <v>148</v>
      </c>
      <c r="B72" s="14" t="s">
        <v>80</v>
      </c>
    </row>
    <row r="73" customFormat="false" ht="12.75" hidden="false" customHeight="true" outlineLevel="0" collapsed="false">
      <c r="A73" s="14" t="s">
        <v>149</v>
      </c>
      <c r="B73" s="14" t="s">
        <v>150</v>
      </c>
    </row>
    <row r="74" customFormat="false" ht="12.75" hidden="false" customHeight="true" outlineLevel="0" collapsed="false">
      <c r="A74" s="14" t="s">
        <v>151</v>
      </c>
      <c r="B74" s="14" t="s">
        <v>150</v>
      </c>
    </row>
    <row r="75" customFormat="false" ht="12.75" hidden="false" customHeight="true" outlineLevel="0" collapsed="false">
      <c r="A75" s="14" t="s">
        <v>152</v>
      </c>
      <c r="B75" s="14" t="s">
        <v>153</v>
      </c>
    </row>
    <row r="76" customFormat="false" ht="12.75" hidden="false" customHeight="true" outlineLevel="0" collapsed="false">
      <c r="A76" s="14" t="s">
        <v>154</v>
      </c>
      <c r="B76" s="14" t="s">
        <v>155</v>
      </c>
    </row>
    <row r="77" customFormat="false" ht="12.75" hidden="false" customHeight="true" outlineLevel="0" collapsed="false">
      <c r="A77" s="14" t="s">
        <v>156</v>
      </c>
      <c r="B77" s="14" t="s">
        <v>157</v>
      </c>
    </row>
    <row r="78" customFormat="false" ht="12.75" hidden="false" customHeight="true" outlineLevel="0" collapsed="false">
      <c r="A78" s="14" t="s">
        <v>158</v>
      </c>
      <c r="B78" s="14" t="s">
        <v>159</v>
      </c>
    </row>
    <row r="79" customFormat="false" ht="12.75" hidden="false" customHeight="true" outlineLevel="0" collapsed="false">
      <c r="A79" s="14" t="s">
        <v>160</v>
      </c>
      <c r="B79" s="14" t="s">
        <v>161</v>
      </c>
    </row>
    <row r="80" customFormat="false" ht="12.75" hidden="false" customHeight="true" outlineLevel="0" collapsed="false">
      <c r="A80" s="14" t="s">
        <v>162</v>
      </c>
      <c r="B80" s="14" t="s">
        <v>106</v>
      </c>
    </row>
    <row r="81" customFormat="false" ht="12.75" hidden="false" customHeight="true" outlineLevel="0" collapsed="false">
      <c r="A81" s="14" t="s">
        <v>163</v>
      </c>
      <c r="B81" s="14" t="s">
        <v>164</v>
      </c>
    </row>
    <row r="82" customFormat="false" ht="12.75" hidden="false" customHeight="true" outlineLevel="0" collapsed="false">
      <c r="A82" s="14" t="s">
        <v>165</v>
      </c>
      <c r="B82" s="14" t="s">
        <v>164</v>
      </c>
    </row>
    <row r="83" customFormat="false" ht="12.75" hidden="false" customHeight="true" outlineLevel="0" collapsed="false">
      <c r="A83" s="14" t="s">
        <v>166</v>
      </c>
      <c r="B83" s="14" t="s">
        <v>167</v>
      </c>
    </row>
    <row r="84" customFormat="false" ht="12.75" hidden="false" customHeight="true" outlineLevel="0" collapsed="false">
      <c r="A84" s="14" t="s">
        <v>168</v>
      </c>
      <c r="B84" s="14" t="s">
        <v>169</v>
      </c>
    </row>
    <row r="85" customFormat="false" ht="12.75" hidden="false" customHeight="true" outlineLevel="0" collapsed="false">
      <c r="A85" s="14" t="s">
        <v>170</v>
      </c>
      <c r="B85" s="14" t="s">
        <v>169</v>
      </c>
    </row>
    <row r="86" customFormat="false" ht="12.75" hidden="false" customHeight="true" outlineLevel="0" collapsed="false">
      <c r="A86" s="14" t="s">
        <v>171</v>
      </c>
      <c r="B86" s="14" t="s">
        <v>169</v>
      </c>
    </row>
    <row r="87" customFormat="false" ht="12.75" hidden="false" customHeight="true" outlineLevel="0" collapsed="false">
      <c r="A87" s="14" t="s">
        <v>172</v>
      </c>
      <c r="B87" s="14" t="s">
        <v>169</v>
      </c>
    </row>
    <row r="88" customFormat="false" ht="12.75" hidden="false" customHeight="true" outlineLevel="0" collapsed="false">
      <c r="A88" s="14" t="s">
        <v>173</v>
      </c>
      <c r="B88" s="14" t="s">
        <v>169</v>
      </c>
    </row>
    <row r="89" customFormat="false" ht="12.75" hidden="false" customHeight="true" outlineLevel="0" collapsed="false">
      <c r="A89" s="14" t="s">
        <v>174</v>
      </c>
      <c r="B89" s="14" t="s">
        <v>169</v>
      </c>
    </row>
    <row r="90" customFormat="false" ht="12.75" hidden="false" customHeight="true" outlineLevel="0" collapsed="false">
      <c r="A90" s="14" t="s">
        <v>175</v>
      </c>
      <c r="B90" s="14" t="s">
        <v>169</v>
      </c>
    </row>
    <row r="91" customFormat="false" ht="12.75" hidden="false" customHeight="true" outlineLevel="0" collapsed="false">
      <c r="A91" s="14" t="s">
        <v>176</v>
      </c>
      <c r="B91" s="14" t="s">
        <v>169</v>
      </c>
    </row>
    <row r="92" customFormat="false" ht="12.75" hidden="false" customHeight="true" outlineLevel="0" collapsed="false">
      <c r="A92" s="14" t="s">
        <v>177</v>
      </c>
      <c r="B92" s="14" t="s">
        <v>169</v>
      </c>
    </row>
    <row r="93" customFormat="false" ht="12.75" hidden="false" customHeight="true" outlineLevel="0" collapsed="false">
      <c r="A93" s="14" t="s">
        <v>178</v>
      </c>
      <c r="B93" s="14" t="s">
        <v>169</v>
      </c>
    </row>
    <row r="94" customFormat="false" ht="12.75" hidden="false" customHeight="true" outlineLevel="0" collapsed="false">
      <c r="A94" s="14" t="s">
        <v>179</v>
      </c>
      <c r="B94" s="14" t="s">
        <v>169</v>
      </c>
    </row>
    <row r="95" customFormat="false" ht="12.75" hidden="false" customHeight="true" outlineLevel="0" collapsed="false">
      <c r="A95" s="14" t="s">
        <v>180</v>
      </c>
      <c r="B95" s="14" t="s">
        <v>169</v>
      </c>
    </row>
    <row r="96" customFormat="false" ht="12.75" hidden="false" customHeight="true" outlineLevel="0" collapsed="false">
      <c r="A96" s="14" t="s">
        <v>181</v>
      </c>
      <c r="B96" s="14" t="s">
        <v>169</v>
      </c>
    </row>
    <row r="97" customFormat="false" ht="12.75" hidden="false" customHeight="true" outlineLevel="0" collapsed="false">
      <c r="A97" s="14" t="s">
        <v>182</v>
      </c>
      <c r="B97" s="14" t="s">
        <v>183</v>
      </c>
    </row>
    <row r="98" customFormat="false" ht="12.75" hidden="false" customHeight="true" outlineLevel="0" collapsed="false">
      <c r="A98" s="14" t="s">
        <v>184</v>
      </c>
      <c r="B98" s="14" t="s">
        <v>88</v>
      </c>
    </row>
    <row r="99" customFormat="false" ht="12.75" hidden="false" customHeight="true" outlineLevel="0" collapsed="false">
      <c r="A99" s="14" t="s">
        <v>185</v>
      </c>
      <c r="B99" s="14" t="s">
        <v>186</v>
      </c>
    </row>
    <row r="100" customFormat="false" ht="12.75" hidden="false" customHeight="true" outlineLevel="0" collapsed="false">
      <c r="A100" s="14" t="s">
        <v>187</v>
      </c>
      <c r="B100" s="14" t="s">
        <v>188</v>
      </c>
    </row>
    <row r="101" customFormat="false" ht="12.75" hidden="false" customHeight="true" outlineLevel="0" collapsed="false">
      <c r="A101" s="14" t="s">
        <v>189</v>
      </c>
      <c r="B101" s="14" t="s">
        <v>188</v>
      </c>
    </row>
    <row r="102" customFormat="false" ht="12.75" hidden="false" customHeight="true" outlineLevel="0" collapsed="false">
      <c r="A102" s="14" t="s">
        <v>190</v>
      </c>
      <c r="B102" s="14" t="s">
        <v>188</v>
      </c>
    </row>
    <row r="103" customFormat="false" ht="12.75" hidden="false" customHeight="true" outlineLevel="0" collapsed="false">
      <c r="A103" s="14" t="s">
        <v>191</v>
      </c>
      <c r="B103" s="14" t="s">
        <v>192</v>
      </c>
    </row>
    <row r="104" customFormat="false" ht="12.75" hidden="false" customHeight="true" outlineLevel="0" collapsed="false">
      <c r="A104" s="14" t="s">
        <v>193</v>
      </c>
      <c r="B104" s="14" t="s">
        <v>164</v>
      </c>
    </row>
    <row r="105" customFormat="false" ht="12.75" hidden="false" customHeight="true" outlineLevel="0" collapsed="false">
      <c r="A105" s="14" t="s">
        <v>194</v>
      </c>
      <c r="B105" s="14" t="s">
        <v>188</v>
      </c>
    </row>
    <row r="106" customFormat="false" ht="12.75" hidden="false" customHeight="true" outlineLevel="0" collapsed="false">
      <c r="A106" s="14" t="s">
        <v>195</v>
      </c>
      <c r="B106" s="14" t="s">
        <v>186</v>
      </c>
    </row>
    <row r="107" customFormat="false" ht="12.75" hidden="false" customHeight="true" outlineLevel="0" collapsed="false">
      <c r="A107" s="14" t="s">
        <v>196</v>
      </c>
      <c r="B107" s="14" t="s">
        <v>197</v>
      </c>
    </row>
    <row r="108" customFormat="false" ht="12.75" hidden="false" customHeight="true" outlineLevel="0" collapsed="false">
      <c r="A108" s="14" t="s">
        <v>198</v>
      </c>
      <c r="B108" s="14" t="s">
        <v>199</v>
      </c>
    </row>
    <row r="109" customFormat="false" ht="12.75" hidden="false" customHeight="true" outlineLevel="0" collapsed="false">
      <c r="A109" s="14" t="s">
        <v>200</v>
      </c>
      <c r="B109" s="14" t="s">
        <v>199</v>
      </c>
    </row>
    <row r="110" customFormat="false" ht="12.75" hidden="false" customHeight="true" outlineLevel="0" collapsed="false">
      <c r="A110" s="14" t="s">
        <v>201</v>
      </c>
      <c r="B110" s="14" t="s">
        <v>199</v>
      </c>
    </row>
    <row r="111" customFormat="false" ht="12.75" hidden="false" customHeight="true" outlineLevel="0" collapsed="false">
      <c r="A111" s="14" t="s">
        <v>202</v>
      </c>
      <c r="B111" s="14" t="s">
        <v>88</v>
      </c>
    </row>
    <row r="112" customFormat="false" ht="12.75" hidden="false" customHeight="true" outlineLevel="0" collapsed="false">
      <c r="A112" s="14" t="s">
        <v>203</v>
      </c>
      <c r="B112" s="14" t="s">
        <v>88</v>
      </c>
    </row>
    <row r="113" customFormat="false" ht="12.75" hidden="false" customHeight="true" outlineLevel="0" collapsed="false">
      <c r="A113" s="14" t="s">
        <v>204</v>
      </c>
      <c r="B113" s="14" t="s">
        <v>88</v>
      </c>
    </row>
    <row r="114" customFormat="false" ht="12.75" hidden="false" customHeight="true" outlineLevel="0" collapsed="false">
      <c r="A114" s="14" t="s">
        <v>205</v>
      </c>
      <c r="B114" s="14" t="s">
        <v>206</v>
      </c>
    </row>
    <row r="115" customFormat="false" ht="12.75" hidden="false" customHeight="true" outlineLevel="0" collapsed="false">
      <c r="A115" s="14" t="s">
        <v>207</v>
      </c>
      <c r="B115" s="14" t="s">
        <v>208</v>
      </c>
    </row>
    <row r="116" customFormat="false" ht="12.75" hidden="false" customHeight="true" outlineLevel="0" collapsed="false">
      <c r="A116" s="14" t="s">
        <v>209</v>
      </c>
      <c r="B116" s="14" t="s">
        <v>210</v>
      </c>
    </row>
    <row r="117" customFormat="false" ht="12.75" hidden="false" customHeight="true" outlineLevel="0" collapsed="false">
      <c r="A117" s="14" t="s">
        <v>211</v>
      </c>
      <c r="B117" s="14" t="s">
        <v>212</v>
      </c>
    </row>
    <row r="118" customFormat="false" ht="12.75" hidden="false" customHeight="true" outlineLevel="0" collapsed="false">
      <c r="A118" s="14" t="s">
        <v>213</v>
      </c>
      <c r="B118" s="14" t="s">
        <v>214</v>
      </c>
    </row>
    <row r="119" customFormat="false" ht="12.75" hidden="false" customHeight="true" outlineLevel="0" collapsed="false">
      <c r="A119" s="14" t="s">
        <v>215</v>
      </c>
      <c r="B119" s="14" t="s">
        <v>216</v>
      </c>
    </row>
    <row r="120" customFormat="false" ht="12.75" hidden="false" customHeight="true" outlineLevel="0" collapsed="false">
      <c r="A120" s="14" t="s">
        <v>217</v>
      </c>
      <c r="B120" s="14" t="s">
        <v>218</v>
      </c>
    </row>
    <row r="121" customFormat="false" ht="12.75" hidden="false" customHeight="true" outlineLevel="0" collapsed="false">
      <c r="A121" s="14" t="s">
        <v>219</v>
      </c>
      <c r="B121" s="14" t="s">
        <v>220</v>
      </c>
    </row>
    <row r="122" customFormat="false" ht="12.75" hidden="false" customHeight="true" outlineLevel="0" collapsed="false">
      <c r="A122" s="14" t="s">
        <v>221</v>
      </c>
      <c r="B122" s="14" t="s">
        <v>222</v>
      </c>
    </row>
    <row r="123" customFormat="false" ht="12.75" hidden="false" customHeight="true" outlineLevel="0" collapsed="false">
      <c r="A123" s="14" t="s">
        <v>223</v>
      </c>
      <c r="B123" s="14" t="s">
        <v>224</v>
      </c>
    </row>
    <row r="124" customFormat="false" ht="12.75" hidden="false" customHeight="true" outlineLevel="0" collapsed="false">
      <c r="A124" s="14" t="s">
        <v>225</v>
      </c>
      <c r="B124" s="14" t="s">
        <v>226</v>
      </c>
    </row>
    <row r="125" customFormat="false" ht="12.75" hidden="false" customHeight="true" outlineLevel="0" collapsed="false">
      <c r="A125" s="14" t="s">
        <v>227</v>
      </c>
      <c r="B125" s="14" t="s">
        <v>228</v>
      </c>
    </row>
    <row r="126" customFormat="false" ht="12.75" hidden="false" customHeight="true" outlineLevel="0" collapsed="false">
      <c r="A126" s="14" t="s">
        <v>229</v>
      </c>
      <c r="B126" s="14" t="s">
        <v>230</v>
      </c>
    </row>
    <row r="127" customFormat="false" ht="12.75" hidden="false" customHeight="true" outlineLevel="0" collapsed="false">
      <c r="A127" s="14" t="s">
        <v>231</v>
      </c>
      <c r="B127" s="14" t="s">
        <v>232</v>
      </c>
    </row>
    <row r="128" customFormat="false" ht="12.75" hidden="false" customHeight="true" outlineLevel="0" collapsed="false">
      <c r="A128" s="14" t="s">
        <v>233</v>
      </c>
      <c r="B128" s="14" t="s">
        <v>20</v>
      </c>
    </row>
    <row r="129" customFormat="false" ht="12.75" hidden="false" customHeight="true" outlineLevel="0" collapsed="false">
      <c r="A129" s="14" t="s">
        <v>234</v>
      </c>
      <c r="B129" s="14" t="s">
        <v>235</v>
      </c>
    </row>
    <row r="130" customFormat="false" ht="12.75" hidden="false" customHeight="true" outlineLevel="0" collapsed="false">
      <c r="A130" s="14" t="s">
        <v>236</v>
      </c>
      <c r="B130" s="14" t="s">
        <v>237</v>
      </c>
    </row>
    <row r="131" customFormat="false" ht="12.75" hidden="false" customHeight="true" outlineLevel="0" collapsed="false">
      <c r="A131" s="14" t="s">
        <v>238</v>
      </c>
      <c r="B131" s="14" t="s">
        <v>186</v>
      </c>
    </row>
    <row r="132" customFormat="false" ht="12.75" hidden="false" customHeight="true" outlineLevel="0" collapsed="false">
      <c r="A132" s="14" t="s">
        <v>239</v>
      </c>
      <c r="B132" s="14" t="s">
        <v>240</v>
      </c>
    </row>
    <row r="133" customFormat="false" ht="12.75" hidden="false" customHeight="true" outlineLevel="0" collapsed="false">
      <c r="A133" s="14" t="s">
        <v>241</v>
      </c>
      <c r="B133" s="14" t="s">
        <v>242</v>
      </c>
    </row>
    <row r="134" customFormat="false" ht="12.75" hidden="false" customHeight="true" outlineLevel="0" collapsed="false">
      <c r="A134" s="14" t="s">
        <v>243</v>
      </c>
      <c r="B134" s="14" t="s">
        <v>106</v>
      </c>
    </row>
    <row r="135" customFormat="false" ht="12.75" hidden="false" customHeight="true" outlineLevel="0" collapsed="false">
      <c r="A135" s="14" t="s">
        <v>244</v>
      </c>
      <c r="B135" s="14" t="s">
        <v>245</v>
      </c>
    </row>
    <row r="136" customFormat="false" ht="12.75" hidden="false" customHeight="true" outlineLevel="0" collapsed="false">
      <c r="A136" s="14" t="s">
        <v>246</v>
      </c>
      <c r="B136" s="14" t="s">
        <v>247</v>
      </c>
    </row>
    <row r="137" customFormat="false" ht="12.75" hidden="false" customHeight="true" outlineLevel="0" collapsed="false">
      <c r="A137" s="14" t="s">
        <v>248</v>
      </c>
      <c r="B137" s="14" t="s">
        <v>249</v>
      </c>
    </row>
    <row r="138" customFormat="false" ht="12.75" hidden="false" customHeight="true" outlineLevel="0" collapsed="false">
      <c r="A138" s="14" t="s">
        <v>250</v>
      </c>
      <c r="B138" s="14" t="s">
        <v>199</v>
      </c>
    </row>
    <row r="139" customFormat="false" ht="12.75" hidden="false" customHeight="true" outlineLevel="0" collapsed="false">
      <c r="A139" s="14" t="s">
        <v>251</v>
      </c>
      <c r="B139" s="14" t="s">
        <v>252</v>
      </c>
    </row>
    <row r="140" customFormat="false" ht="12.75" hidden="false" customHeight="true" outlineLevel="0" collapsed="false">
      <c r="A140" s="14" t="s">
        <v>253</v>
      </c>
      <c r="B140" s="14" t="s">
        <v>254</v>
      </c>
    </row>
    <row r="141" customFormat="false" ht="12.75" hidden="false" customHeight="true" outlineLevel="0" collapsed="false">
      <c r="A141" s="14" t="s">
        <v>255</v>
      </c>
      <c r="B141" s="14" t="s">
        <v>188</v>
      </c>
    </row>
    <row r="142" customFormat="false" ht="12.75" hidden="false" customHeight="true" outlineLevel="0" collapsed="false">
      <c r="A142" s="14" t="s">
        <v>256</v>
      </c>
      <c r="B142" s="14" t="s">
        <v>257</v>
      </c>
    </row>
    <row r="143" customFormat="false" ht="12.75" hidden="false" customHeight="true" outlineLevel="0" collapsed="false">
      <c r="A143" s="13" t="s">
        <v>258</v>
      </c>
      <c r="B143" s="14" t="s">
        <v>259</v>
      </c>
    </row>
    <row r="144" customFormat="false" ht="12.75" hidden="false" customHeight="true" outlineLevel="0" collapsed="false">
      <c r="A144" s="13" t="s">
        <v>260</v>
      </c>
      <c r="B144" s="14" t="s">
        <v>30</v>
      </c>
    </row>
    <row r="145" customFormat="false" ht="12.75" hidden="false" customHeight="true" outlineLevel="0" collapsed="false">
      <c r="A145" s="13" t="s">
        <v>261</v>
      </c>
      <c r="B145" s="14" t="s">
        <v>30</v>
      </c>
    </row>
    <row r="146" customFormat="false" ht="12.75" hidden="false" customHeight="true" outlineLevel="0" collapsed="false">
      <c r="A146" s="13" t="s">
        <v>262</v>
      </c>
      <c r="B146" s="14" t="s">
        <v>263</v>
      </c>
    </row>
    <row r="147" customFormat="false" ht="12.75" hidden="false" customHeight="true" outlineLevel="0" collapsed="false">
      <c r="A147" s="13" t="s">
        <v>264</v>
      </c>
      <c r="B147" s="14" t="s">
        <v>265</v>
      </c>
    </row>
    <row r="148" customFormat="false" ht="12.75" hidden="false" customHeight="true" outlineLevel="0" collapsed="false">
      <c r="A148" s="13" t="s">
        <v>266</v>
      </c>
      <c r="B148" s="14" t="s">
        <v>267</v>
      </c>
    </row>
    <row r="149" customFormat="false" ht="12.75" hidden="false" customHeight="true" outlineLevel="0" collapsed="false">
      <c r="A149" s="13" t="s">
        <v>268</v>
      </c>
      <c r="B149" s="14" t="s">
        <v>269</v>
      </c>
    </row>
    <row r="150" customFormat="false" ht="12.75" hidden="false" customHeight="true" outlineLevel="0" collapsed="false">
      <c r="A150" s="13" t="s">
        <v>270</v>
      </c>
      <c r="B150" s="14" t="s">
        <v>88</v>
      </c>
    </row>
    <row r="151" customFormat="false" ht="12.75" hidden="false" customHeight="true" outlineLevel="0" collapsed="false">
      <c r="A151" s="13" t="s">
        <v>271</v>
      </c>
      <c r="B151" s="14" t="s">
        <v>88</v>
      </c>
    </row>
    <row r="152" customFormat="false" ht="12.75" hidden="false" customHeight="false" outlineLevel="0" collapsed="false">
      <c r="A152" s="13" t="s">
        <v>272</v>
      </c>
      <c r="B152" s="14" t="s">
        <v>106</v>
      </c>
    </row>
    <row r="153" customFormat="false" ht="12.75" hidden="false" customHeight="false" outlineLevel="0" collapsed="false">
      <c r="A153" s="13" t="s">
        <v>273</v>
      </c>
      <c r="B153" s="14" t="s">
        <v>106</v>
      </c>
    </row>
    <row r="154" customFormat="false" ht="12.75" hidden="false" customHeight="false" outlineLevel="0" collapsed="false">
      <c r="A154" s="13" t="s">
        <v>274</v>
      </c>
      <c r="B154" s="14" t="s">
        <v>106</v>
      </c>
    </row>
    <row r="155" customFormat="false" ht="12.75" hidden="false" customHeight="false" outlineLevel="0" collapsed="false">
      <c r="A155" s="13" t="s">
        <v>275</v>
      </c>
      <c r="B155" s="14" t="s">
        <v>276</v>
      </c>
    </row>
    <row r="156" customFormat="false" ht="12.75" hidden="false" customHeight="false" outlineLevel="0" collapsed="false">
      <c r="A156" s="13" t="s">
        <v>277</v>
      </c>
      <c r="B156" s="14" t="s">
        <v>276</v>
      </c>
    </row>
    <row r="157" customFormat="false" ht="12.75" hidden="false" customHeight="false" outlineLevel="0" collapsed="false">
      <c r="A157" s="13" t="s">
        <v>278</v>
      </c>
      <c r="B157" s="14" t="s">
        <v>279</v>
      </c>
    </row>
    <row r="158" customFormat="false" ht="12.75" hidden="false" customHeight="false" outlineLevel="0" collapsed="false">
      <c r="A158" s="13" t="s">
        <v>280</v>
      </c>
      <c r="B158" s="14" t="s">
        <v>281</v>
      </c>
    </row>
    <row r="159" customFormat="false" ht="12.75" hidden="false" customHeight="false" outlineLevel="0" collapsed="false">
      <c r="A159" s="13" t="s">
        <v>282</v>
      </c>
      <c r="B159" s="14" t="s">
        <v>283</v>
      </c>
    </row>
    <row r="160" customFormat="false" ht="12.75" hidden="false" customHeight="false" outlineLevel="0" collapsed="false">
      <c r="A160" s="13" t="s">
        <v>284</v>
      </c>
      <c r="B160" s="14" t="s">
        <v>285</v>
      </c>
    </row>
    <row r="161" customFormat="false" ht="12.75" hidden="false" customHeight="true" outlineLevel="0" collapsed="false">
      <c r="A161" s="15" t="s">
        <v>13</v>
      </c>
      <c r="B161" s="14" t="s">
        <v>164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2024-02-07T19:17:47Z</dcterms:created>
  <dc:creator>openpyxl</dc:creator>
  <dc:description/>
  <dc:language>en-US</dc:language>
  <cp:lastModifiedBy/>
  <dcterms:modified xsi:type="dcterms:W3CDTF">2026-05-04T15:28:52Z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